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codeName="ThisWorkbook" defaultThemeVersion="166925"/>
  <xr:revisionPtr revIDLastSave="0" documentId="13_ncr:11_{07E56613-473F-47DB-A9E1-92C1B307053D}" xr6:coauthVersionLast="47" xr6:coauthVersionMax="47" xr10:uidLastSave="{00000000-0000-0000-0000-000000000000}"/>
  <bookViews>
    <workbookView xWindow="-120" yWindow="-120" windowWidth="29040" windowHeight="15720" tabRatio="927"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6" i="10" l="1"/>
  <c r="A38" i="7"/>
  <c r="E106" i="7"/>
  <c r="D10" i="20"/>
  <c r="G51" i="16"/>
  <c r="D12" i="13"/>
  <c r="D7" i="16"/>
  <c r="G7" i="19"/>
  <c r="D36" i="21"/>
  <c r="F6" i="10"/>
  <c r="D8" i="10"/>
  <c r="D9" i="21"/>
  <c r="J43" i="19"/>
  <c r="F35" i="13"/>
  <c r="G6" i="19"/>
  <c r="G5" i="19"/>
  <c r="G4" i="19"/>
  <c r="G3" i="19"/>
  <c r="G43" i="9"/>
  <c r="D43" i="9"/>
  <c r="F3" i="15"/>
  <c r="E3" i="15"/>
  <c r="H64" i="7"/>
  <c r="D64" i="7"/>
  <c r="D123" i="7"/>
  <c r="D51" i="16"/>
  <c r="F29" i="13"/>
  <c r="F28" i="13"/>
  <c r="F31" i="13" s="1"/>
  <c r="F33" i="13" s="1"/>
  <c r="F37" i="13" s="1"/>
  <c r="G15" i="11"/>
  <c r="D39" i="16"/>
  <c r="D29" i="15"/>
  <c r="C37" i="15" s="1"/>
  <c r="D28" i="15"/>
  <c r="C36" i="15" s="1"/>
  <c r="D11" i="10"/>
  <c r="E31" i="13"/>
  <c r="C33" i="15" l="1"/>
  <c r="C32" i="15"/>
</calcChain>
</file>

<file path=xl/sharedStrings.xml><?xml version="1.0" encoding="utf-8"?>
<sst xmlns="http://schemas.openxmlformats.org/spreadsheetml/2006/main" count="639" uniqueCount="311">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</sst>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164" formatCode="mm/dd/yy;@"/>
    <numFmt numFmtId="165" formatCode="[$-409]h:mm\ AM/PM;@"/>
    <numFmt numFmtId="166" formatCode="[$-409]h:mm:ss\ AM/PM;@"/>
  </numFmts>
  <fonts count="34"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4" fillId="0" borderId="0" applyFill="0" applyBorder="0">
      <alignment wrapText="1"/>
    </xf>
    <xf numFmtId="0" fontId="5" fillId="0" borderId="0"/>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8" fillId="3" borderId="0" applyNumberFormat="0" applyBorder="0" applyProtection="0"/>
    <xf numFmtId="0" fontId="5" fillId="4" borderId="0"/>
    <xf numFmtId="0" fontId="5" fillId="5" borderId="1"/>
    <xf numFmtId="0" fontId="5" fillId="4" borderId="2"/>
    <xf numFmtId="0" fontId="3" fillId="0" borderId="0"/>
    <xf numFmtId="0" fontId="3" fillId="4" borderId="0"/>
    <xf numFmtId="0" fontId="3" fillId="5" borderId="1"/>
    <xf numFmtId="0" fontId="3" fillId="4" borderId="2"/>
    <xf numFmtId="0" fontId="2" fillId="0" borderId="0"/>
    <xf numFmtId="0" fontId="21" fillId="0" borderId="0" applyNumberFormat="0" applyFill="0" applyBorder="0" applyAlignment="0" applyProtection="0"/>
    <xf numFmtId="0" fontId="1" fillId="4" borderId="0"/>
    <xf numFmtId="0" fontId="1" fillId="5" borderId="1"/>
    <xf numFmtId="0" fontId="1" fillId="4" borderId="2"/>
  </cellStyleXfs>
  <cellXfs count="129">
    <xf numFmtId="0" fontId="0" fillId="0" borderId="0" xfId="0"/>
    <xf numFmtId="0" fontId="5" fillId="0" borderId="0" xfId="2"/>
    <xf numFmtId="0" fontId="7" fillId="2" borderId="0" xfId="4">
      <alignment horizontal="left" wrapText="1" indent="4"/>
    </xf>
    <xf numFmtId="0" fontId="4" fillId="2" borderId="0" xfId="5">
      <alignment horizontal="left" wrapText="1" indent="4"/>
    </xf>
    <xf numFmtId="0" fontId="5" fillId="0" borderId="0" xfId="2" applyAlignment="1">
      <alignment horizontal="left"/>
    </xf>
    <xf numFmtId="0" fontId="9" fillId="0" borderId="0" xfId="0" applyFont="1"/>
    <xf numFmtId="0" fontId="9" fillId="0" borderId="0" xfId="0" applyFont="1" applyAlignment="1">
      <alignment horizontal="left" indent="1"/>
    </xf>
    <xf numFmtId="0" fontId="8" fillId="3" borderId="0" xfId="7"/>
    <xf numFmtId="0" fontId="8" fillId="3" borderId="0" xfId="7" applyAlignment="1">
      <alignment horizontal="right"/>
    </xf>
    <xf numFmtId="0" fontId="8" fillId="0" borderId="0" xfId="6"/>
    <xf numFmtId="0" fontId="10" fillId="0" borderId="0" xfId="2" applyFont="1" applyAlignment="1">
      <alignment horizontal="left"/>
    </xf>
    <xf numFmtId="0" fontId="8" fillId="3" borderId="0" xfId="7" applyAlignment="1">
      <alignment horizontal="left"/>
    </xf>
    <xf numFmtId="14" fontId="0" fillId="0" borderId="0" xfId="0" applyNumberFormat="1"/>
    <xf numFmtId="0" fontId="3" fillId="4" borderId="0" xfId="12"/>
    <xf numFmtId="0" fontId="11" fillId="0" borderId="0" xfId="2" applyFont="1"/>
    <xf numFmtId="0" fontId="11" fillId="0" borderId="0" xfId="2" applyFont="1" applyAlignment="1">
      <alignment wrapText="1"/>
    </xf>
    <xf numFmtId="0" fontId="11" fillId="0" borderId="0" xfId="0" applyFont="1"/>
    <xf numFmtId="0" fontId="11" fillId="0" borderId="0" xfId="2" applyFont="1" applyAlignment="1">
      <alignment horizontal="left"/>
    </xf>
    <xf numFmtId="0" fontId="11" fillId="0" borderId="0" xfId="6" applyFont="1"/>
    <xf numFmtId="0" fontId="12" fillId="0" borderId="0" xfId="0" applyFont="1"/>
    <xf numFmtId="0" fontId="13" fillId="0" borderId="0" xfId="2" applyFont="1"/>
    <xf numFmtId="0" fontId="15" fillId="0" borderId="0" xfId="0" applyFont="1"/>
    <xf numFmtId="0" fontId="13" fillId="0" borderId="0" xfId="2" applyFont="1" applyAlignment="1">
      <alignment horizontal="left"/>
    </xf>
    <xf numFmtId="0" fontId="16" fillId="0" borderId="0" xfId="0" applyFont="1"/>
    <xf numFmtId="0" fontId="14" fillId="0" borderId="0" xfId="6" applyFont="1"/>
    <xf numFmtId="0" fontId="10" fillId="0" borderId="0" xfId="2" applyFont="1" applyAlignment="1">
      <alignment horizontal="right"/>
    </xf>
    <xf numFmtId="0" fontId="8" fillId="0" borderId="0" xfId="2" applyFont="1" applyAlignment="1">
      <alignment horizontal="left"/>
    </xf>
    <xf numFmtId="0" fontId="18" fillId="0" borderId="0" xfId="2" applyFont="1" applyAlignment="1">
      <alignment horizontal="left"/>
    </xf>
    <xf numFmtId="0" fontId="19" fillId="0" borderId="0" xfId="0" applyFont="1"/>
    <xf numFmtId="0" fontId="17" fillId="0" borderId="0" xfId="0" applyFont="1"/>
    <xf numFmtId="0" fontId="17" fillId="0" borderId="0" xfId="0" quotePrefix="1" applyFont="1"/>
    <xf numFmtId="0" fontId="17" fillId="0" borderId="0" xfId="0" applyFont="1" applyAlignment="1">
      <alignment wrapText="1"/>
    </xf>
    <xf numFmtId="0" fontId="20" fillId="3" borderId="0" xfId="7" applyFont="1" applyAlignment="1">
      <alignment horizontal="centerContinuous"/>
    </xf>
    <xf numFmtId="0" fontId="20" fillId="3" borderId="0" xfId="7" applyFont="1" applyAlignment="1">
      <alignment horizontal="left"/>
    </xf>
    <xf numFmtId="0" fontId="20" fillId="3" borderId="0" xfId="7" applyFont="1" applyAlignment="1">
      <alignment horizontal="right"/>
    </xf>
    <xf numFmtId="0" fontId="20"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5" fillId="5" borderId="1" xfId="9" applyNumberFormat="1" applyAlignment="1">
      <alignment vertical="center"/>
    </xf>
    <xf numFmtId="0" fontId="20" fillId="3" borderId="0" xfId="7" applyFont="1"/>
    <xf numFmtId="0" fontId="8" fillId="0" borderId="0" xfId="6" applyAlignment="1">
      <alignment wrapText="1"/>
    </xf>
    <xf numFmtId="0" fontId="2" fillId="0" borderId="0" xfId="2" applyFont="1"/>
    <xf numFmtId="0" fontId="2" fillId="0" borderId="0" xfId="2" applyFont="1" applyAlignment="1">
      <alignment horizontal="left"/>
    </xf>
    <xf numFmtId="0" fontId="2" fillId="0" borderId="0" xfId="2" applyFont="1" applyAlignment="1">
      <alignment horizontal="right"/>
    </xf>
    <xf numFmtId="0" fontId="2" fillId="4" borderId="0" xfId="8" applyFont="1"/>
    <xf numFmtId="0" fontId="2" fillId="4" borderId="0" xfId="8" applyFont="1" applyAlignment="1">
      <alignment horizontal="right"/>
    </xf>
    <xf numFmtId="0" fontId="2" fillId="5" borderId="1" xfId="9" applyFont="1" applyAlignment="1">
      <alignment horizontal="right"/>
    </xf>
    <xf numFmtId="0" fontId="9" fillId="0" borderId="0" xfId="0" applyFont="1" applyAlignment="1">
      <alignment horizontal="center"/>
    </xf>
    <xf numFmtId="0" fontId="2" fillId="0" borderId="0" xfId="2" applyFont="1" applyAlignment="1">
      <alignment horizontal="left" indent="1"/>
    </xf>
    <xf numFmtId="0" fontId="9" fillId="0" borderId="0" xfId="0" applyFont="1" applyAlignment="1">
      <alignment horizontal="left" indent="2"/>
    </xf>
    <xf numFmtId="0" fontId="2" fillId="4" borderId="2" xfId="10" applyFont="1"/>
    <xf numFmtId="0" fontId="2" fillId="5" borderId="1" xfId="9" applyFont="1" applyAlignment="1">
      <alignment horizontal="right" vertical="center"/>
    </xf>
    <xf numFmtId="0" fontId="2" fillId="0" borderId="0" xfId="2" applyFont="1" applyAlignment="1">
      <alignment horizontal="center"/>
    </xf>
    <xf numFmtId="0" fontId="2" fillId="0" borderId="0" xfId="2" quotePrefix="1" applyFont="1" applyAlignment="1">
      <alignment horizontal="left"/>
    </xf>
    <xf numFmtId="0" fontId="2" fillId="0" borderId="0" xfId="2" applyFont="1" applyAlignment="1">
      <alignment horizontal="left" indent="2"/>
    </xf>
    <xf numFmtId="0" fontId="2" fillId="0" borderId="0" xfId="11" applyFont="1" applyAlignment="1">
      <alignment horizontal="left" indent="1"/>
    </xf>
    <xf numFmtId="0" fontId="2" fillId="4" borderId="2" xfId="14" applyFont="1"/>
    <xf numFmtId="0" fontId="2" fillId="4" borderId="2" xfId="10" applyFont="1" applyAlignment="1">
      <alignment horizontal="center" vertical="center"/>
    </xf>
    <xf numFmtId="0" fontId="2" fillId="4" borderId="2" xfId="10" applyFont="1" applyAlignment="1">
      <alignment horizontal="left"/>
    </xf>
    <xf numFmtId="0" fontId="5" fillId="5" borderId="1" xfId="9"/>
    <xf numFmtId="0" fontId="0" fillId="0" borderId="3" xfId="0" applyBorder="1" applyAlignment="1">
      <alignment vertical="center"/>
    </xf>
    <xf numFmtId="8" fontId="0" fillId="0" borderId="3" xfId="0" applyNumberFormat="1" applyBorder="1" applyAlignment="1">
      <alignment vertical="center"/>
    </xf>
    <xf numFmtId="0" fontId="1" fillId="5" borderId="1" xfId="18"/>
    <xf numFmtId="0" fontId="22" fillId="0" borderId="0" xfId="0" applyFont="1"/>
    <xf numFmtId="0" fontId="1" fillId="4" borderId="0" xfId="17"/>
    <xf numFmtId="0" fontId="21" fillId="0" borderId="0" xfId="16"/>
    <xf numFmtId="0" fontId="23" fillId="2" borderId="0" xfId="3" applyFont="1">
      <alignment horizontal="left" indent="1"/>
    </xf>
    <xf numFmtId="0" fontId="20" fillId="3" borderId="4" xfId="7" applyFont="1" applyBorder="1" applyAlignment="1">
      <alignment horizontal="left" vertical="center"/>
    </xf>
    <xf numFmtId="0" fontId="20"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4" fillId="0" borderId="0" xfId="0" applyFont="1" applyAlignment="1">
      <alignment horizontal="centerContinuous" vertical="center"/>
    </xf>
    <xf numFmtId="0" fontId="16" fillId="0" borderId="0" xfId="0" applyFont="1" applyAlignment="1">
      <alignment horizontal="centerContinuous"/>
    </xf>
    <xf numFmtId="0" fontId="8" fillId="3" borderId="0" xfId="7" applyAlignment="1">
      <alignment horizontal="center" vertical="center"/>
    </xf>
    <xf numFmtId="0" fontId="25" fillId="0" borderId="0" xfId="6" applyFont="1"/>
    <xf numFmtId="0" fontId="26" fillId="0" borderId="0" xfId="11" applyFont="1"/>
    <xf numFmtId="0" fontId="27" fillId="0" borderId="0" xfId="0" applyFont="1" applyAlignment="1">
      <alignment horizontal="centerContinuous" vertical="center"/>
    </xf>
    <xf numFmtId="0" fontId="28" fillId="0" borderId="0" xfId="11" applyFont="1" applyAlignment="1">
      <alignment horizontal="centerContinuous"/>
    </xf>
    <xf numFmtId="0" fontId="28" fillId="0" borderId="0" xfId="11" applyFont="1"/>
    <xf numFmtId="0" fontId="25" fillId="3" borderId="0" xfId="7" applyFont="1"/>
    <xf numFmtId="0" fontId="25" fillId="3" borderId="0" xfId="7" applyFont="1" applyAlignment="1">
      <alignment horizontal="right"/>
    </xf>
    <xf numFmtId="0" fontId="29" fillId="0" borderId="0" xfId="11" applyFont="1"/>
    <xf numFmtId="0" fontId="28" fillId="0" borderId="0" xfId="11" applyFont="1" applyAlignment="1">
      <alignment horizontal="left"/>
    </xf>
    <xf numFmtId="0" fontId="29" fillId="0" borderId="0" xfId="11" applyFont="1" applyAlignment="1">
      <alignment horizontal="left"/>
    </xf>
    <xf numFmtId="0" fontId="30" fillId="0" borderId="0" xfId="0" applyFont="1"/>
    <xf numFmtId="0" fontId="31" fillId="0" borderId="0" xfId="0" applyFont="1"/>
    <xf numFmtId="0" fontId="28" fillId="4" borderId="2" xfId="14" applyFont="1"/>
    <xf numFmtId="0" fontId="28" fillId="5" borderId="1" xfId="13" applyFont="1" applyAlignment="1">
      <alignment horizontal="right"/>
    </xf>
    <xf numFmtId="0" fontId="2" fillId="0" borderId="0" xfId="2" applyFont="1" applyAlignment="1">
      <alignment horizontal="centerContinuous"/>
    </xf>
    <xf numFmtId="0" fontId="0" fillId="0" borderId="0" xfId="0" applyAlignment="1">
      <alignment horizontal="centerContinuous"/>
    </xf>
    <xf numFmtId="0" fontId="8" fillId="0" borderId="0" xfId="6" applyAlignment="1">
      <alignment horizontal="centerContinuous"/>
    </xf>
    <xf numFmtId="0" fontId="5" fillId="4" borderId="2" xfId="10"/>
    <xf numFmtId="0" fontId="1"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8" fillId="0" borderId="0" xfId="2" applyFont="1" applyAlignment="1">
      <alignment horizontal="left" wrapText="1"/>
    </xf>
    <xf numFmtId="0" fontId="11" fillId="0" borderId="0" xfId="0" applyFont="1" applyAlignment="1">
      <alignment wrapText="1"/>
    </xf>
    <xf numFmtId="0" fontId="11" fillId="0" borderId="0" xfId="2" applyFont="1" applyAlignment="1">
      <alignment horizontal="left" wrapText="1"/>
    </xf>
    <xf numFmtId="0" fontId="33" fillId="0" borderId="0" xfId="0" applyFont="1"/>
    <xf numFmtId="0" fontId="27" fillId="0" borderId="0" xfId="0" applyFont="1" applyAlignment="1">
      <alignment horizontal="center" vertical="center"/>
    </xf>
    <xf numFmtId="0" fontId="27"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5" borderId="5" xfId="18" applyBorder="1"/>
    <xf numFmtId="0" fontId="1" fillId="4" borderId="6" xfId="17" applyBorder="1" applyAlignment="1">
      <alignment horizontal="left"/>
    </xf>
    <xf numFmtId="0" fontId="5" fillId="4" borderId="6" xfId="8" applyBorder="1"/>
    <xf numFmtId="0" fontId="3" fillId="4" borderId="2" xfId="14"/>
    <xf numFmtId="0" fontId="28" fillId="5" borderId="7" xfId="13" applyFont="1" applyBorder="1"/>
    <xf numFmtId="0" fontId="28" fillId="4" borderId="6" xfId="12" applyFont="1" applyBorder="1"/>
    <xf numFmtId="0" fontId="28" fillId="4" borderId="8" xfId="12" applyFont="1" applyBorder="1"/>
    <xf numFmtId="0" fontId="3" fillId="5" borderId="10" xfId="13" applyBorder="1"/>
    <xf numFmtId="0" fontId="2" fillId="5" borderId="7" xfId="9" applyFont="1" applyBorder="1" applyAlignment="1">
      <alignment horizontal="right"/>
    </xf>
    <xf numFmtId="0" fontId="2" fillId="4" borderId="6" xfId="8" applyFont="1" applyBorder="1"/>
    <xf numFmtId="0" fontId="2" fillId="4" borderId="6" xfId="8" applyFont="1" applyBorder="1" applyAlignment="1">
      <alignment horizontal="right"/>
    </xf>
    <xf numFmtId="0" fontId="2" fillId="4" borderId="6" xfId="8" applyFont="1" applyBorder="1" applyAlignment="1">
      <alignment horizontal="left"/>
    </xf>
    <xf numFmtId="164" fontId="2" fillId="5" borderId="10" xfId="9" applyNumberFormat="1" applyFont="1" applyBorder="1" applyAlignment="1">
      <alignment horizontal="right"/>
    </xf>
    <xf numFmtId="0" fontId="5" fillId="4" borderId="11" xfId="10" applyBorder="1"/>
    <xf numFmtId="0" fontId="5" fillId="5" borderId="10" xfId="9" applyBorder="1"/>
    <xf numFmtId="164" fontId="5" fillId="4" borderId="11" xfId="10" applyNumberFormat="1" applyBorder="1"/>
    <xf numFmtId="166" fontId="2" fillId="5" borderId="10" xfId="9" applyNumberFormat="1" applyFont="1" applyBorder="1" applyAlignment="1">
      <alignment horizontal="right"/>
    </xf>
    <xf numFmtId="165" fontId="5" fillId="5" borderId="10" xfId="9" applyNumberFormat="1" applyBorder="1"/>
    <xf numFmtId="0" fontId="1" fillId="4" borderId="6" xfId="8" applyFont="1" applyBorder="1"/>
    <xf numFmtId="164" fontId="5" fillId="4" borderId="6" xfId="8" applyNumberFormat="1" applyBorder="1"/>
    <xf numFmtId="165" fontId="5" fillId="4" borderId="6" xfId="8" applyNumberFormat="1" applyBorder="1"/>
    <xf numFmtId="165" fontId="2" fillId="5" borderId="10" xfId="9" applyNumberFormat="1" applyFont="1" applyBorder="1" applyAlignment="1">
      <alignment horizontal="right"/>
    </xf>
    <xf numFmtId="0" fontId="5" fillId="4" borderId="1" xfId="8" applyBorder="1"/>
    <xf numFmtId="0" fontId="10" fillId="0" borderId="9" xfId="11" applyFont="1" applyBorder="1" applyAlignment="1">
      <alignment horizontal="left"/>
    </xf>
    <xf numFmtId="0" fontId="28" fillId="5" borderId="1" xfId="13" applyFont="1"/>
    <xf numFmtId="0" fontId="8" fillId="0" borderId="0" xfId="11" applyFont="1" applyAlignment="1">
      <alignment horizontal="left" wrapText="1"/>
    </xf>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5.svg"/><Relationship Id="rId2" Type="http://schemas.openxmlformats.org/officeDocument/2006/relationships/hyperlink" Target="#'Introduction to Functions'!A1"/><Relationship Id="rId1" Type="http://schemas.openxmlformats.org/officeDocument/2006/relationships/hyperlink" Target="#Basics!A60"/><Relationship Id="rId6" Type="http://schemas.openxmlformats.org/officeDocument/2006/relationships/image" Target="../media/image4.png"/><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10.png"/><Relationship Id="rId7" Type="http://schemas.openxmlformats.org/officeDocument/2006/relationships/image" Target="../media/image3.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2.png"/><Relationship Id="rId5" Type="http://schemas.openxmlformats.org/officeDocument/2006/relationships/image" Target="../media/image5.svg"/><Relationship Id="rId10" Type="http://schemas.openxmlformats.org/officeDocument/2006/relationships/hyperlink" Target="#AVERAGE!A1"/><Relationship Id="rId4" Type="http://schemas.openxmlformats.org/officeDocument/2006/relationships/image" Target="../media/image4.png"/><Relationship Id="rId9" Type="http://schemas.openxmlformats.org/officeDocument/2006/relationships/hyperlink" Target="#'Introduction to Functions'!A63"/></Relationships>
</file>

<file path=xl/drawings/_rels/drawing4.xml.rels><?xml version="1.0" encoding="UTF-8" standalone="yes"?>
<Relationships xmlns="http://schemas.openxmlformats.org/package/2006/relationships"><Relationship Id="rId3" Type="http://schemas.openxmlformats.org/officeDocument/2006/relationships/hyperlink" Target="#'Introduction to Functions'!A1"/><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5.svg"/><Relationship Id="rId5" Type="http://schemas.openxmlformats.org/officeDocument/2006/relationships/image" Target="../media/image4.png"/><Relationship Id="rId4" Type="http://schemas.openxmlformats.org/officeDocument/2006/relationships/hyperlink" Target="#'MIN &amp; MAX'!A1"/></Relationships>
</file>

<file path=xl/drawings/_rels/drawing5.xml.rels><?xml version="1.0" encoding="UTF-8" standalone="yes"?>
<Relationships xmlns="http://schemas.openxmlformats.org/package/2006/relationships"><Relationship Id="rId3" Type="http://schemas.openxmlformats.org/officeDocument/2006/relationships/hyperlink" Target="#AVERAGE!A1"/><Relationship Id="rId2" Type="http://schemas.openxmlformats.org/officeDocument/2006/relationships/image" Target="../media/image7.svg"/><Relationship Id="rId1" Type="http://schemas.openxmlformats.org/officeDocument/2006/relationships/image" Target="../media/image6.png"/><Relationship Id="rId4"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3" Type="http://schemas.openxmlformats.org/officeDocument/2006/relationships/hyperlink" Target="#'MIN &amp; MAX'!A1"/><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Joining text and numbers'!A1"/></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7" Type="http://schemas.openxmlformats.org/officeDocument/2006/relationships/image" Target="../media/image5.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5" Type="http://schemas.openxmlformats.org/officeDocument/2006/relationships/hyperlink" Target="#'Joining text and numbers'!A60"/><Relationship Id="rId4" Type="http://schemas.openxmlformats.org/officeDocument/2006/relationships/image" Target="../media/image13.svg"/></Relationships>
</file>

<file path=xl/drawings/_rels/drawing8.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9.svg"/><Relationship Id="rId7" Type="http://schemas.openxmlformats.org/officeDocument/2006/relationships/image" Target="../media/image6.png"/><Relationship Id="rId2" Type="http://schemas.openxmlformats.org/officeDocument/2006/relationships/image" Target="../media/image8.png"/><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image" Target="../media/image16.png"/><Relationship Id="rId5" Type="http://schemas.openxmlformats.org/officeDocument/2006/relationships/image" Target="../media/image15.svg"/><Relationship Id="rId10" Type="http://schemas.openxmlformats.org/officeDocument/2006/relationships/hyperlink" Target="#'Joining text and numbers'!A1"/><Relationship Id="rId4" Type="http://schemas.openxmlformats.org/officeDocument/2006/relationships/image" Target="../media/image14.png"/><Relationship Id="rId9" Type="http://schemas.openxmlformats.org/officeDocument/2006/relationships/hyperlink" Target="#'IF statements'!A60"/></Relationships>
</file>

<file path=xl/drawings/_rels/drawing9.xml.rels><?xml version="1.0" encoding="UTF-8" standalone="yes"?>
<Relationships xmlns="http://schemas.openxmlformats.org/package/2006/relationships"><Relationship Id="rId3" Type="http://schemas.openxmlformats.org/officeDocument/2006/relationships/hyperlink" Target="#'IF statements'!A1"/><Relationship Id="rId7" Type="http://schemas.openxmlformats.org/officeDocument/2006/relationships/image" Target="../media/image18.svg"/><Relationship Id="rId2" Type="http://schemas.openxmlformats.org/officeDocument/2006/relationships/hyperlink" Target="#VLOOKUP!D62"/><Relationship Id="rId1" Type="http://schemas.openxmlformats.org/officeDocument/2006/relationships/hyperlink" Target="#'Conditional Functions'!A1"/><Relationship Id="rId6" Type="http://schemas.openxmlformats.org/officeDocument/2006/relationships/image" Target="../media/image17.png"/><Relationship Id="rId5" Type="http://schemas.openxmlformats.org/officeDocument/2006/relationships/image" Target="../media/image9.svg"/><Relationship Id="rId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8" Type="http://schemas.openxmlformats.org/officeDocument/2006/relationships/hyperlink" Target="#'Conditional Functions'!A130"/><Relationship Id="rId3" Type="http://schemas.openxmlformats.org/officeDocument/2006/relationships/hyperlink" Target="#'Function Wizard'!A1"/><Relationship Id="rId7" Type="http://schemas.openxmlformats.org/officeDocument/2006/relationships/hyperlink" Target="#'Conditional Functions'!A85"/><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5.svg"/><Relationship Id="rId5" Type="http://schemas.openxmlformats.org/officeDocument/2006/relationships/image" Target="../media/image14.png"/><Relationship Id="rId10" Type="http://schemas.openxmlformats.org/officeDocument/2006/relationships/hyperlink" Target="#VLOOKUP!A1"/><Relationship Id="rId4" Type="http://schemas.openxmlformats.org/officeDocument/2006/relationships/hyperlink" Target="https://support.office.com/en-us/article/Create-a-PivotTable-to-analyze-worksheet-data-A9A84538-BFE9-40A9-A8E9-F99134456576" TargetMode="External"/><Relationship Id="rId9"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3" Type="http://schemas.openxmlformats.org/officeDocument/2006/relationships/hyperlink" Target="#'Conditional Functions'!A1"/><Relationship Id="rId7" Type="http://schemas.openxmlformats.org/officeDocument/2006/relationships/image" Target="../media/image7.sv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6.png"/><Relationship Id="rId5" Type="http://schemas.openxmlformats.org/officeDocument/2006/relationships/image" Target="../media/image19.png"/><Relationship Id="rId4" Type="http://schemas.openxmlformats.org/officeDocument/2006/relationships/hyperlink" Target="#'Formula Errors'!A1"/></Relationships>
</file>

<file path=xl/drawings/_rels/drawing12.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hyperlink" Target="#'Function Wizard'!A1"/><Relationship Id="rId7" Type="http://schemas.openxmlformats.org/officeDocument/2006/relationships/image" Target="../media/image6.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18.svg"/><Relationship Id="rId5" Type="http://schemas.openxmlformats.org/officeDocument/2006/relationships/image" Target="../media/image17.png"/><Relationship Id="rId4" Type="http://schemas.openxmlformats.org/officeDocument/2006/relationships/hyperlink" Target="#'Learn more'!A1"/></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33288" cy="45910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193980" y="1895474"/>
          <a:ext cx="2276474" cy="1162050"/>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38888" y="1340308"/>
          <a:ext cx="2368589" cy="1631493"/>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253381" y="5768574"/>
          <a:ext cx="3760249" cy="1924402"/>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5393389</xdr:colOff>
      <xdr:row>27</xdr:row>
      <xdr:rowOff>229899</xdr:rowOff>
    </xdr:from>
    <xdr:to>
      <xdr:col>3</xdr:col>
      <xdr:colOff>61913</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303027" y="5978237"/>
          <a:ext cx="1712261" cy="47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314820</xdr:colOff>
      <xdr:row>27</xdr:row>
      <xdr:rowOff>247328</xdr:rowOff>
    </xdr:from>
    <xdr:to>
      <xdr:col>2</xdr:col>
      <xdr:colOff>534004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95841" y="5944070"/>
          <a:ext cx="115991"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1</xdr:col>
      <xdr:colOff>5638057</xdr:colOff>
      <xdr:row>30</xdr:row>
      <xdr:rowOff>6379</xdr:rowOff>
    </xdr:from>
    <xdr:to>
      <xdr:col>2</xdr:col>
      <xdr:colOff>257487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759308" y="6233666"/>
          <a:ext cx="115991" cy="53921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5525673</xdr:colOff>
      <xdr:row>30</xdr:row>
      <xdr:rowOff>138490</xdr:rowOff>
    </xdr:from>
    <xdr:to>
      <xdr:col>2</xdr:col>
      <xdr:colOff>362142</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435311" y="6577390"/>
          <a:ext cx="756256"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538856</xdr:colOff>
      <xdr:row>30</xdr:row>
      <xdr:rowOff>6379</xdr:rowOff>
    </xdr:from>
    <xdr:to>
      <xdr:col>2</xdr:col>
      <xdr:colOff>1080733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81224" y="6232336"/>
          <a:ext cx="115991" cy="5418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426594</xdr:colOff>
      <xdr:row>30</xdr:row>
      <xdr:rowOff>138490</xdr:rowOff>
    </xdr:from>
    <xdr:to>
      <xdr:col>3</xdr:col>
      <xdr:colOff>61317</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256019" y="6577390"/>
          <a:ext cx="758673"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477269</xdr:colOff>
      <xdr:row>27</xdr:row>
      <xdr:rowOff>229899</xdr:rowOff>
    </xdr:from>
    <xdr:to>
      <xdr:col>5</xdr:col>
      <xdr:colOff>885825</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592569" y="5978237"/>
          <a:ext cx="1694431" cy="47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171535" y="7748741"/>
          <a:ext cx="3648776" cy="162439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171536" y="9602007"/>
          <a:ext cx="6043256" cy="214231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4698262"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448425" y="10293346"/>
          <a:ext cx="356234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151295" y="6978650"/>
          <a:ext cx="3212029"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3"/>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257173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8972549" y="3457576"/>
          <a:ext cx="2714624"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33288"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8"/>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05622"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60328"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734050"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9"/>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10"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8963027" y="3438525"/>
          <a:ext cx="2781298" cy="139064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676900"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096500" y="857250"/>
          <a:ext cx="25622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217862"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217868"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268667"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oneCell">
    <xdr:from>
      <xdr:col>2</xdr:col>
      <xdr:colOff>762000</xdr:colOff>
      <xdr:row>15</xdr:row>
      <xdr:rowOff>152400</xdr:rowOff>
    </xdr:from>
    <xdr:to>
      <xdr:col>7</xdr:col>
      <xdr:colOff>276225</xdr:colOff>
      <xdr:row>25</xdr:row>
      <xdr:rowOff>96710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134225" y="3581400"/>
          <a:ext cx="3209925" cy="184931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95250</xdr:colOff>
      <xdr:row>11</xdr:row>
      <xdr:rowOff>122568</xdr:rowOff>
    </xdr:from>
    <xdr:to>
      <xdr:col>5</xdr:col>
      <xdr:colOff>542925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467475" y="3084843"/>
          <a:ext cx="3600450" cy="1487156"/>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352425</xdr:rowOff>
    </xdr:from>
    <xdr:to>
      <xdr:col>1</xdr:col>
      <xdr:colOff>5229225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52425"/>
          <a:ext cx="5734050" cy="380047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123825</xdr:rowOff>
    </xdr:from>
    <xdr:to>
      <xdr:col>1</xdr:col>
      <xdr:colOff>5229225</xdr:colOff>
      <xdr:row>60</xdr:row>
      <xdr:rowOff>67767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238625"/>
          <a:ext cx="5734050" cy="817354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98059</xdr:rowOff>
    </xdr:from>
    <xdr:to>
      <xdr:col>5</xdr:col>
      <xdr:colOff>0</xdr:colOff>
      <xdr:row>57</xdr:row>
      <xdr:rowOff>28575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34125" y="10346959"/>
          <a:ext cx="3190875" cy="145451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4</xdr:col>
      <xdr:colOff>50633</xdr:colOff>
      <xdr:row>6</xdr:row>
      <xdr:rowOff>120354</xdr:rowOff>
    </xdr:from>
    <xdr:to>
      <xdr:col>10</xdr:col>
      <xdr:colOff>354541</xdr:colOff>
      <xdr:row>13</xdr:row>
      <xdr:rowOff>120648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8966033" y="2082504"/>
          <a:ext cx="3961508" cy="139094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5019675"/>
          <a:ext cx="5734050" cy="452437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44</xdr:row>
      <xdr:rowOff>66675</xdr:rowOff>
    </xdr:from>
    <xdr:to>
      <xdr:col>1</xdr:col>
      <xdr:colOff>970370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3713211</xdr:colOff>
      <xdr:row>44</xdr:row>
      <xdr:rowOff>66675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00787" y="8505825"/>
          <a:ext cx="3335866" cy="171555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734050" cy="457200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DeepDive" descr="Dive down for more detail">
          <a:hlinkClick xmlns:r="http://schemas.openxmlformats.org/officeDocument/2006/relationships" r:id="rId5"/>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66675</xdr:rowOff>
    </xdr:from>
    <xdr:to>
      <xdr:col>6</xdr:col>
      <xdr:colOff>590549</xdr:colOff>
      <xdr:row>40</xdr:row>
      <xdr:rowOff>142876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458200" y="6924675"/>
          <a:ext cx="3209924" cy="140970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1950"/>
          <a:ext cx="5734050" cy="455709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581036</xdr:colOff>
      <xdr:row>21</xdr:row>
      <xdr:rowOff>57148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6792318" y="3221238"/>
          <a:ext cx="3656618" cy="140791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123825</xdr:rowOff>
    </xdr:from>
    <xdr:to>
      <xdr:col>4</xdr:col>
      <xdr:colOff>600075</xdr:colOff>
      <xdr:row>46</xdr:row>
      <xdr:rowOff>125248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24600" y="8610600"/>
          <a:ext cx="3533775" cy="95392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534651" y="6633874"/>
          <a:ext cx="3476623" cy="174005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333375</xdr:colOff>
      <xdr:row>23</xdr:row>
      <xdr:rowOff>47624</xdr:rowOff>
    </xdr:from>
    <xdr:to>
      <xdr:col>1</xdr:col>
      <xdr:colOff>5219700</xdr:colOff>
      <xdr:row>52</xdr:row>
      <xdr:rowOff>190499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3375" y="5000624"/>
          <a:ext cx="5734050" cy="5772150"/>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50</xdr:row>
      <xdr:rowOff>57150</xdr:rowOff>
    </xdr:from>
    <xdr:to>
      <xdr:col>1</xdr:col>
      <xdr:colOff>980459</xdr:colOff>
      <xdr:row>52</xdr:row>
      <xdr:rowOff>11599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3684072</xdr:colOff>
      <xdr:row>50</xdr:row>
      <xdr:rowOff>57150</xdr:rowOff>
    </xdr:from>
    <xdr:to>
      <xdr:col>1</xdr:col>
      <xdr:colOff>4959806</xdr:colOff>
      <xdr:row>52</xdr:row>
      <xdr:rowOff>11599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2</xdr:col>
      <xdr:colOff>419100</xdr:colOff>
      <xdr:row>48</xdr:row>
      <xdr:rowOff>19050</xdr:rowOff>
    </xdr:from>
    <xdr:to>
      <xdr:col>4</xdr:col>
      <xdr:colOff>409215</xdr:colOff>
      <xdr:row>59</xdr:row>
      <xdr:rowOff>133074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1"/>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229626"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229626"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27</xdr:row>
      <xdr:rowOff>176188</xdr:rowOff>
    </xdr:from>
    <xdr:to>
      <xdr:col>1</xdr:col>
      <xdr:colOff>4959806</xdr:colOff>
      <xdr:row>29</xdr:row>
      <xdr:rowOff>130637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btn_DeepDive" descr="Dive down for more detail">
          <a:hlinkClick xmlns:r="http://schemas.openxmlformats.org/officeDocument/2006/relationships" r:id="rId2"/>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734050"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180947</xdr:rowOff>
    </xdr:from>
    <xdr:to>
      <xdr:col>1</xdr:col>
      <xdr:colOff>998945</xdr:colOff>
      <xdr:row>58</xdr:row>
      <xdr:rowOff>135396</xdr:rowOff>
    </xdr:to>
    <xdr:sp macro="" textlink="">
      <xdr:nvSpPr>
        <xdr:cNvPr id="129"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3665586</xdr:colOff>
      <xdr:row>56</xdr:row>
      <xdr:rowOff>180947</xdr:rowOff>
    </xdr:from>
    <xdr:to>
      <xdr:col>1</xdr:col>
      <xdr:colOff>4940756</xdr:colOff>
      <xdr:row>58</xdr:row>
      <xdr:rowOff>135396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428626</xdr:colOff>
      <xdr:row>43</xdr:row>
      <xdr:rowOff>76208</xdr:rowOff>
    </xdr:from>
    <xdr:to>
      <xdr:col>9</xdr:col>
      <xdr:colOff>285751</xdr:colOff>
      <xdr:row>52</xdr:row>
      <xdr:rowOff>130186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7686676" y="8839208"/>
          <a:ext cx="3848100" cy="176847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47744"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259559" y="4829174"/>
          <a:ext cx="3868304"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47625</xdr:colOff>
      <xdr:row>75</xdr:row>
      <xdr:rowOff>38100</xdr:rowOff>
    </xdr:from>
    <xdr:to>
      <xdr:col>35</xdr:col>
      <xdr:colOff>400050</xdr:colOff>
      <xdr:row>84</xdr:row>
      <xdr:rowOff>172910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8897600" y="14935200"/>
          <a:ext cx="3305175" cy="184931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352425</xdr:rowOff>
    </xdr:from>
    <xdr:to>
      <xdr:col>1</xdr:col>
      <xdr:colOff>5229225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547701</xdr:colOff>
      <xdr:row>40</xdr:row>
      <xdr:rowOff>173567</xdr:rowOff>
    </xdr:from>
    <xdr:to>
      <xdr:col>1</xdr:col>
      <xdr:colOff>4948224</xdr:colOff>
      <xdr:row>40</xdr:row>
      <xdr:rowOff>173567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57150</xdr:rowOff>
    </xdr:from>
    <xdr:to>
      <xdr:col>1</xdr:col>
      <xdr:colOff>4953401</xdr:colOff>
      <xdr:row>9</xdr:row>
      <xdr:rowOff>81857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1650"/>
          <a:ext cx="5229626" cy="59620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41</xdr:row>
      <xdr:rowOff>125941</xdr:rowOff>
    </xdr:from>
    <xdr:to>
      <xdr:col>1</xdr:col>
      <xdr:colOff>4887529</xdr:colOff>
      <xdr:row>43</xdr:row>
      <xdr:rowOff>102540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21</xdr:row>
      <xdr:rowOff>38100</xdr:rowOff>
    </xdr:from>
    <xdr:to>
      <xdr:col>1</xdr:col>
      <xdr:colOff>4953401</xdr:colOff>
      <xdr:row>24</xdr:row>
      <xdr:rowOff>62807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29626" cy="59620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111</xdr:row>
      <xdr:rowOff>114299</xdr:rowOff>
    </xdr:from>
    <xdr:to>
      <xdr:col>1</xdr:col>
      <xdr:colOff>5238749</xdr:colOff>
      <xdr:row>131</xdr:row>
      <xdr:rowOff>49427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1949" y="21869399"/>
          <a:ext cx="5724525" cy="378322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4"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8929301" y="3964967"/>
          <a:ext cx="4148524"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47750" y="2590800"/>
          <a:ext cx="4238624"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638800" cy="270510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7"/>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7259300"/>
          <a:ext cx="5734050" cy="454175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108</xdr:row>
      <xdr:rowOff>104775</xdr:rowOff>
    </xdr:from>
    <xdr:to>
      <xdr:col>1</xdr:col>
      <xdr:colOff>4950281</xdr:colOff>
      <xdr:row>110</xdr:row>
      <xdr:rowOff>59224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361950</xdr:colOff>
      <xdr:row>45</xdr:row>
      <xdr:rowOff>133351</xdr:rowOff>
    </xdr:from>
    <xdr:to>
      <xdr:col>1</xdr:col>
      <xdr:colOff>5248275</xdr:colOff>
      <xdr:row>86</xdr:row>
      <xdr:rowOff>171451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49</xdr:row>
      <xdr:rowOff>38100</xdr:rowOff>
    </xdr:from>
    <xdr:to>
      <xdr:col>1</xdr:col>
      <xdr:colOff>4948224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46</xdr:row>
      <xdr:rowOff>38100</xdr:rowOff>
    </xdr:from>
    <xdr:to>
      <xdr:col>1</xdr:col>
      <xdr:colOff>4951420</xdr:colOff>
      <xdr:row>48</xdr:row>
      <xdr:rowOff>142942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547701</xdr:colOff>
      <xdr:row>82</xdr:row>
      <xdr:rowOff>87842</xdr:rowOff>
    </xdr:from>
    <xdr:to>
      <xdr:col>1</xdr:col>
      <xdr:colOff>4948224</xdr:colOff>
      <xdr:row>82</xdr:row>
      <xdr:rowOff>87842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49</xdr:row>
      <xdr:rowOff>38100</xdr:rowOff>
    </xdr:from>
    <xdr:to>
      <xdr:col>1</xdr:col>
      <xdr:colOff>5015188</xdr:colOff>
      <xdr:row>50</xdr:row>
      <xdr:rowOff>88247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4943876</xdr:colOff>
      <xdr:row>56</xdr:row>
      <xdr:rowOff>177107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820400"/>
          <a:ext cx="5220101" cy="59620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45390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47625</xdr:rowOff>
    </xdr:from>
    <xdr:to>
      <xdr:col>1</xdr:col>
      <xdr:colOff>4943876</xdr:colOff>
      <xdr:row>69</xdr:row>
      <xdr:rowOff>72332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3230225"/>
          <a:ext cx="5220101" cy="59620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38225" y="11182350"/>
          <a:ext cx="3971925" cy="196215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4182707"/>
          <a:ext cx="5399498" cy="19356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8"/>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9"/>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514350</xdr:colOff>
      <xdr:row>130</xdr:row>
      <xdr:rowOff>57150</xdr:rowOff>
    </xdr:from>
    <xdr:to>
      <xdr:col>1</xdr:col>
      <xdr:colOff>941795</xdr:colOff>
      <xdr:row>132</xdr:row>
      <xdr:rowOff>11599</xdr:rowOff>
    </xdr:to>
    <xdr:sp macro="" textlink="">
      <xdr:nvSpPr>
        <xdr:cNvPr id="132"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3665783</xdr:colOff>
      <xdr:row>130</xdr:row>
      <xdr:rowOff>69930</xdr:rowOff>
    </xdr:from>
    <xdr:to>
      <xdr:col>1</xdr:col>
      <xdr:colOff>4817658</xdr:colOff>
      <xdr:row>132</xdr:row>
      <xdr:rowOff>46037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6972300" y="2505075"/>
          <a:ext cx="2476500" cy="1716628"/>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81139"/>
          <a:ext cx="5395912" cy="59303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76514"/>
          <a:ext cx="5195887" cy="605732"/>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5"/>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11139" y="3714454"/>
          <a:ext cx="7523436" cy="371650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48</xdr:row>
      <xdr:rowOff>180976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4946626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19050</xdr:rowOff>
    </xdr:from>
    <xdr:to>
      <xdr:col>1</xdr:col>
      <xdr:colOff>4934351</xdr:colOff>
      <xdr:row>10</xdr:row>
      <xdr:rowOff>5657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924050"/>
          <a:ext cx="5229626" cy="59620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848021</xdr:colOff>
      <xdr:row>12</xdr:row>
      <xdr:rowOff>114300</xdr:rowOff>
    </xdr:from>
    <xdr:to>
      <xdr:col>1</xdr:col>
      <xdr:colOff>4705055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157163</xdr:rowOff>
    </xdr:from>
    <xdr:to>
      <xdr:col>1</xdr:col>
      <xdr:colOff>4934351</xdr:colOff>
      <xdr:row>25</xdr:row>
      <xdr:rowOff>181870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957763"/>
          <a:ext cx="5229626" cy="59620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26</xdr:row>
      <xdr:rowOff>104775</xdr:rowOff>
    </xdr:from>
    <xdr:to>
      <xdr:col>1</xdr:col>
      <xdr:colOff>4800293</xdr:colOff>
      <xdr:row>40</xdr:row>
      <xdr:rowOff>28246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104775</xdr:rowOff>
    </xdr:from>
    <xdr:to>
      <xdr:col>1</xdr:col>
      <xdr:colOff>4934351</xdr:colOff>
      <xdr:row>43</xdr:row>
      <xdr:rowOff>129482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372475"/>
          <a:ext cx="5229626" cy="59620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46</xdr:row>
      <xdr:rowOff>47625</xdr:rowOff>
    </xdr:from>
    <xdr:to>
      <xdr:col>1</xdr:col>
      <xdr:colOff>998947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3669834</xdr:colOff>
      <xdr:row>46</xdr:row>
      <xdr:rowOff>47625</xdr:rowOff>
    </xdr:from>
    <xdr:to>
      <xdr:col>1</xdr:col>
      <xdr:colOff>4945006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267575" y="7534275"/>
          <a:ext cx="2941107" cy="1161191"/>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47625</xdr:colOff>
      <xdr:row>22</xdr:row>
      <xdr:rowOff>109257</xdr:rowOff>
    </xdr:from>
    <xdr:to>
      <xdr:col>5</xdr:col>
      <xdr:colOff>171450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438900" y="4909857"/>
          <a:ext cx="2505075" cy="84324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tabSelected="1" workbookViewId="0"/>
  </sheetViews>
  <sheetFormatPr defaultColWidth="11.140625" defaultRowHeight="20.25" customHeight="1" x14ac:dyDescent="0.25"/>
  <cols>
    <col min="1" max="1" width="129.7109375" style="1" customWidth="1"/>
    <col min="2" max="2" width="3.5703125" style="1" customWidth="1"/>
    <col min="3" max="16384" width="11.140625" style="1"/>
  </cols>
  <sheetData>
    <row r="1" spans="1:1" ht="20.25" customHeight="1" x14ac:dyDescent="1.25">
      <c r="A1" s="66"/>
    </row>
    <row r="2" spans="1:1" ht="102" customHeight="1" x14ac:dyDescent="1.25">
      <c r="A2" s="66" t="s">
        <v>287</v>
      </c>
    </row>
    <row r="3" spans="1:1" ht="45" x14ac:dyDescent="0.35">
      <c r="A3" s="2" t="s">
        <v>286</v>
      </c>
    </row>
    <row r="4" spans="1:1" ht="264" customHeight="1" x14ac:dyDescent="0.25">
      <c r="A4" s="3" t="s">
        <v>0</v>
      </c>
    </row>
    <row r="5" spans="1:1" ht="20.25" customHeight="1" x14ac:dyDescent="0.3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zoomScaleNormal="100" workbookViewId="0"/>
  </sheetViews>
  <sheetFormatPr defaultColWidth="9.140625" defaultRowHeight="15" x14ac:dyDescent="0.25"/>
  <cols>
    <col min="1" max="1" width="12.7109375" style="29" customWidth="1"/>
    <col min="2" max="2" width="82.85546875" style="23" customWidth="1"/>
    <col min="3" max="3" width="15.7109375" style="23" bestFit="1" customWidth="1"/>
    <col min="4" max="4" width="2.28515625" style="23" customWidth="1"/>
    <col min="5" max="5" width="18" style="23" bestFit="1" customWidth="1"/>
    <col min="6" max="6" width="15.7109375" style="23" customWidth="1"/>
    <col min="7" max="7" width="13.28515625" style="23" customWidth="1"/>
    <col min="8" max="10" width="9.140625" style="23"/>
    <col min="11" max="11" width="9.140625" style="23" customWidth="1"/>
    <col min="12" max="16384" width="9.140625" style="23"/>
  </cols>
  <sheetData>
    <row r="1" spans="1:7" ht="60" customHeight="1" x14ac:dyDescent="0.25">
      <c r="A1" s="29" t="s">
        <v>123</v>
      </c>
      <c r="C1" s="71"/>
      <c r="D1" s="72"/>
      <c r="E1" s="72"/>
      <c r="F1" s="72"/>
    </row>
    <row r="2" spans="1:7" ht="15.75" thickBot="1" x14ac:dyDescent="0.3">
      <c r="A2" s="29" t="s">
        <v>124</v>
      </c>
      <c r="C2" s="73" t="s">
        <v>117</v>
      </c>
      <c r="E2" s="7" t="s">
        <v>289</v>
      </c>
      <c r="F2" s="8" t="s">
        <v>288</v>
      </c>
      <c r="G2" s="8" t="s">
        <v>290</v>
      </c>
    </row>
    <row r="3" spans="1:7" ht="16.5" thickTop="1" thickBot="1" x14ac:dyDescent="0.3">
      <c r="A3" s="29" t="s">
        <v>125</v>
      </c>
      <c r="C3" s="91">
        <v>1</v>
      </c>
      <c r="E3" s="104" t="s">
        <v>118</v>
      </c>
      <c r="F3" s="103"/>
      <c r="G3" s="105">
        <f>C3+C4</f>
        <v>3</v>
      </c>
    </row>
    <row r="4" spans="1:7" ht="16.5" thickTop="1" thickBot="1" x14ac:dyDescent="0.3">
      <c r="A4" s="29" t="s">
        <v>126</v>
      </c>
      <c r="C4" s="91">
        <v>2</v>
      </c>
      <c r="E4" s="104" t="s">
        <v>119</v>
      </c>
      <c r="F4" s="103"/>
      <c r="G4" s="105">
        <f>C3-C4</f>
        <v>-1</v>
      </c>
    </row>
    <row r="5" spans="1:7" ht="15.75" thickTop="1" x14ac:dyDescent="0.25">
      <c r="A5" s="29" t="s">
        <v>127</v>
      </c>
      <c r="E5" s="104" t="s">
        <v>120</v>
      </c>
      <c r="F5" s="103"/>
      <c r="G5" s="105">
        <f>C3*C4</f>
        <v>2</v>
      </c>
    </row>
    <row r="6" spans="1:7" ht="15.75" thickBot="1" x14ac:dyDescent="0.3">
      <c r="A6" s="29" t="s">
        <v>128</v>
      </c>
      <c r="E6" s="104" t="s">
        <v>121</v>
      </c>
      <c r="F6" s="103"/>
      <c r="G6" s="105">
        <f>C3/C4</f>
        <v>0.5</v>
      </c>
    </row>
    <row r="7" spans="1:7" ht="15" customHeight="1" thickTop="1" thickBot="1" x14ac:dyDescent="0.3">
      <c r="A7" s="29" t="s">
        <v>145</v>
      </c>
      <c r="E7" s="104" t="s">
        <v>122</v>
      </c>
      <c r="F7" s="106"/>
      <c r="G7" s="105">
        <f>C3^C4</f>
        <v>1</v>
      </c>
    </row>
    <row r="8" spans="1:7" ht="15.75" thickTop="1" x14ac:dyDescent="0.25">
      <c r="A8" s="29" t="s">
        <v>146</v>
      </c>
    </row>
    <row r="9" spans="1:7" x14ac:dyDescent="0.25">
      <c r="A9" s="29" t="s">
        <v>129</v>
      </c>
    </row>
    <row r="10" spans="1:7" x14ac:dyDescent="0.25">
      <c r="A10" s="29" t="s">
        <v>130</v>
      </c>
    </row>
    <row r="11" spans="1:7" x14ac:dyDescent="0.25">
      <c r="A11" s="29" t="s">
        <v>131</v>
      </c>
    </row>
    <row r="12" spans="1:7" x14ac:dyDescent="0.25">
      <c r="A12" s="29" t="s">
        <v>132</v>
      </c>
    </row>
    <row r="13" spans="1:7" ht="15" customHeight="1" x14ac:dyDescent="0.25">
      <c r="A13" s="31" t="s">
        <v>305</v>
      </c>
    </row>
    <row r="14" spans="1:7" x14ac:dyDescent="0.25">
      <c r="A14" s="29" t="s">
        <v>133</v>
      </c>
    </row>
    <row r="15" spans="1:7" x14ac:dyDescent="0.25">
      <c r="A15" s="29" t="s">
        <v>134</v>
      </c>
    </row>
    <row r="16" spans="1:7" x14ac:dyDescent="0.25">
      <c r="A16" s="29" t="s">
        <v>135</v>
      </c>
    </row>
    <row r="17" spans="1:7" x14ac:dyDescent="0.25">
      <c r="A17" s="29" t="s">
        <v>147</v>
      </c>
    </row>
    <row r="18" spans="1:7" x14ac:dyDescent="0.25">
      <c r="A18" s="29" t="s">
        <v>136</v>
      </c>
    </row>
    <row r="19" spans="1:7" x14ac:dyDescent="0.25">
      <c r="A19" s="29" t="s">
        <v>137</v>
      </c>
    </row>
    <row r="20" spans="1:7" x14ac:dyDescent="0.25">
      <c r="A20" s="29" t="s">
        <v>138</v>
      </c>
    </row>
    <row r="21" spans="1:7" ht="15" customHeight="1" x14ac:dyDescent="0.25">
      <c r="A21" s="31" t="s">
        <v>284</v>
      </c>
    </row>
    <row r="22" spans="1:7" x14ac:dyDescent="0.25">
      <c r="A22" s="29" t="s">
        <v>139</v>
      </c>
    </row>
    <row r="23" spans="1:7" x14ac:dyDescent="0.25">
      <c r="A23" s="29" t="s">
        <v>140</v>
      </c>
    </row>
    <row r="24" spans="1:7" x14ac:dyDescent="0.25">
      <c r="A24" s="29" t="s">
        <v>30</v>
      </c>
    </row>
    <row r="25" spans="1:7" ht="33" x14ac:dyDescent="0.25">
      <c r="A25" s="29" t="s">
        <v>141</v>
      </c>
      <c r="C25" s="71"/>
      <c r="D25" s="72"/>
      <c r="E25" s="72"/>
      <c r="F25" s="72"/>
      <c r="G25" s="72"/>
    </row>
    <row r="26" spans="1:7" x14ac:dyDescent="0.25">
      <c r="A26" s="29" t="s">
        <v>142</v>
      </c>
    </row>
    <row r="27" spans="1:7" x14ac:dyDescent="0.25">
      <c r="A27" s="29" t="s">
        <v>143</v>
      </c>
    </row>
    <row r="28" spans="1:7" ht="26.25" x14ac:dyDescent="0.4">
      <c r="A28" s="29" t="s">
        <v>144</v>
      </c>
      <c r="E28" s="63"/>
    </row>
    <row r="29" spans="1:7" x14ac:dyDescent="0.25">
      <c r="A29" s="29" t="s">
        <v>33</v>
      </c>
    </row>
    <row r="40" spans="10:14" x14ac:dyDescent="0.25">
      <c r="J40" s="8" t="s">
        <v>74</v>
      </c>
    </row>
    <row r="41" spans="10:14" x14ac:dyDescent="0.25">
      <c r="J41" s="64">
        <v>4</v>
      </c>
    </row>
    <row r="42" spans="10:14" x14ac:dyDescent="0.25">
      <c r="J42" s="64">
        <v>8</v>
      </c>
    </row>
    <row r="43" spans="10:14" x14ac:dyDescent="0.25">
      <c r="J43" s="62">
        <f>SUM(J41:J42)</f>
        <v>12</v>
      </c>
      <c r="N43"/>
    </row>
    <row r="46" spans="10:14" x14ac:dyDescent="0.25">
      <c r="L46"/>
      <c r="M46"/>
    </row>
    <row r="64" spans="7:7" x14ac:dyDescent="0.25">
      <c r="G64" s="65"/>
    </row>
    <row r="65" spans="7:7" x14ac:dyDescent="0.25">
      <c r="G65" s="65"/>
    </row>
    <row r="66" spans="7:7" x14ac:dyDescent="0.25">
      <c r="G66" s="65"/>
    </row>
    <row r="67" spans="7:7" x14ac:dyDescent="0.25">
      <c r="G67" s="65"/>
    </row>
    <row r="86" ht="17.45" customHeight="1" x14ac:dyDescent="0.2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heetViews>
  <sheetFormatPr defaultColWidth="8.85546875" defaultRowHeight="15" customHeight="1" x14ac:dyDescent="0.25"/>
  <cols>
    <col min="1" max="1" width="12.7109375" style="74" customWidth="1"/>
    <col min="2" max="2" width="82.85546875" style="78" customWidth="1"/>
    <col min="3" max="4" width="13.28515625" style="78" customWidth="1"/>
    <col min="5" max="5" width="2.28515625" style="78" customWidth="1"/>
    <col min="6" max="6" width="16" style="78" bestFit="1" customWidth="1"/>
    <col min="7" max="7" width="13.28515625" style="78" customWidth="1"/>
    <col min="8" max="16384" width="8.85546875" style="78"/>
  </cols>
  <sheetData>
    <row r="1" spans="1:13" ht="60" customHeight="1" x14ac:dyDescent="0.5">
      <c r="A1" s="9" t="s">
        <v>148</v>
      </c>
      <c r="B1" s="75"/>
      <c r="C1" s="76"/>
      <c r="D1" s="77"/>
      <c r="E1" s="77"/>
      <c r="F1" s="77"/>
      <c r="G1" s="77"/>
    </row>
    <row r="2" spans="1:13" ht="15" customHeight="1" x14ac:dyDescent="0.25">
      <c r="A2" s="74" t="s">
        <v>149</v>
      </c>
      <c r="C2" s="79" t="s">
        <v>1</v>
      </c>
      <c r="D2" s="80" t="s">
        <v>2</v>
      </c>
      <c r="F2" s="79" t="s">
        <v>3</v>
      </c>
      <c r="G2" s="80" t="s">
        <v>2</v>
      </c>
    </row>
    <row r="3" spans="1:13" ht="15" customHeight="1" x14ac:dyDescent="0.25">
      <c r="A3" s="40" t="s">
        <v>285</v>
      </c>
      <c r="B3" s="81"/>
      <c r="C3" s="108" t="s">
        <v>4</v>
      </c>
      <c r="D3" s="108">
        <v>50</v>
      </c>
      <c r="F3" s="108" t="s">
        <v>5</v>
      </c>
      <c r="G3" s="108">
        <v>50</v>
      </c>
    </row>
    <row r="4" spans="1:13" ht="15" customHeight="1" x14ac:dyDescent="0.25">
      <c r="A4" s="74" t="s">
        <v>150</v>
      </c>
      <c r="C4" s="108" t="s">
        <v>6</v>
      </c>
      <c r="D4" s="108">
        <v>20</v>
      </c>
      <c r="E4" s="82"/>
      <c r="F4" s="108" t="s">
        <v>7</v>
      </c>
      <c r="G4" s="108">
        <v>30</v>
      </c>
    </row>
    <row r="5" spans="1:13" s="82" customFormat="1" ht="15" customHeight="1" x14ac:dyDescent="0.25">
      <c r="A5" s="9" t="s">
        <v>264</v>
      </c>
      <c r="C5" s="108" t="s">
        <v>8</v>
      </c>
      <c r="D5" s="108">
        <v>60</v>
      </c>
      <c r="F5" s="108" t="s">
        <v>9</v>
      </c>
      <c r="G5" s="108">
        <v>10</v>
      </c>
    </row>
    <row r="6" spans="1:13" s="82" customFormat="1" ht="15" customHeight="1" x14ac:dyDescent="0.25">
      <c r="A6" s="74" t="s">
        <v>129</v>
      </c>
      <c r="B6" s="83"/>
      <c r="C6" s="108" t="s">
        <v>10</v>
      </c>
      <c r="D6" s="109">
        <v>40</v>
      </c>
      <c r="F6" s="108" t="s">
        <v>11</v>
      </c>
      <c r="G6" s="109">
        <v>50</v>
      </c>
    </row>
    <row r="7" spans="1:13" s="82" customFormat="1" ht="15" customHeight="1" x14ac:dyDescent="0.25">
      <c r="A7" s="74" t="s">
        <v>151</v>
      </c>
      <c r="C7" s="126" t="s">
        <v>293</v>
      </c>
      <c r="D7" s="110">
        <f>SUM(D3:D6)</f>
        <v>170</v>
      </c>
      <c r="F7" s="126" t="s">
        <v>293</v>
      </c>
      <c r="G7" s="110"/>
      <c r="M7" s="84"/>
    </row>
    <row r="8" spans="1:13" s="82" customFormat="1" ht="15" customHeight="1" x14ac:dyDescent="0.25">
      <c r="A8" s="74" t="s">
        <v>130</v>
      </c>
      <c r="M8" s="84"/>
    </row>
    <row r="9" spans="1:13" s="82" customFormat="1" ht="15" customHeight="1" x14ac:dyDescent="0.25">
      <c r="A9" s="74" t="s">
        <v>152</v>
      </c>
      <c r="C9" s="79" t="s">
        <v>12</v>
      </c>
      <c r="D9" s="80" t="s">
        <v>2</v>
      </c>
      <c r="F9" s="79" t="s">
        <v>12</v>
      </c>
      <c r="G9" s="80" t="s">
        <v>2</v>
      </c>
      <c r="M9" s="84"/>
    </row>
    <row r="10" spans="1:13" s="82" customFormat="1" ht="15" customHeight="1" x14ac:dyDescent="0.3">
      <c r="A10" s="85" t="s">
        <v>153</v>
      </c>
      <c r="C10" s="108" t="s">
        <v>13</v>
      </c>
      <c r="D10" s="108">
        <v>50</v>
      </c>
      <c r="F10" s="108" t="s">
        <v>13</v>
      </c>
      <c r="G10" s="108">
        <v>50</v>
      </c>
      <c r="M10" s="84"/>
    </row>
    <row r="11" spans="1:13" s="82" customFormat="1" ht="15" customHeight="1" x14ac:dyDescent="0.25">
      <c r="A11" s="74" t="s">
        <v>154</v>
      </c>
      <c r="C11" s="108" t="s">
        <v>14</v>
      </c>
      <c r="D11" s="108">
        <v>100</v>
      </c>
      <c r="F11" s="108" t="s">
        <v>14</v>
      </c>
      <c r="G11" s="108">
        <v>100</v>
      </c>
      <c r="M11" s="84"/>
    </row>
    <row r="12" spans="1:13" s="82" customFormat="1" ht="15" customHeight="1" x14ac:dyDescent="0.25">
      <c r="A12" s="74" t="s">
        <v>155</v>
      </c>
      <c r="C12" s="108" t="s">
        <v>15</v>
      </c>
      <c r="D12" s="108">
        <v>40</v>
      </c>
      <c r="F12" s="108" t="s">
        <v>15</v>
      </c>
      <c r="G12" s="108">
        <v>40</v>
      </c>
      <c r="M12" s="84"/>
    </row>
    <row r="13" spans="1:13" s="82" customFormat="1" ht="15" customHeight="1" x14ac:dyDescent="0.25">
      <c r="A13" s="74" t="s">
        <v>156</v>
      </c>
      <c r="C13" s="108" t="s">
        <v>16</v>
      </c>
      <c r="D13" s="108">
        <v>50</v>
      </c>
      <c r="F13" s="108" t="s">
        <v>16</v>
      </c>
      <c r="G13" s="108">
        <v>50</v>
      </c>
      <c r="M13" s="84"/>
    </row>
    <row r="14" spans="1:13" s="82" customFormat="1" ht="15" customHeight="1" thickBot="1" x14ac:dyDescent="0.3">
      <c r="A14" s="128" t="s">
        <v>304</v>
      </c>
      <c r="C14" s="108" t="s">
        <v>17</v>
      </c>
      <c r="D14" s="108">
        <v>20</v>
      </c>
      <c r="F14" s="108" t="s">
        <v>17</v>
      </c>
      <c r="G14" s="108">
        <v>20</v>
      </c>
      <c r="M14" s="84"/>
    </row>
    <row r="15" spans="1:13" s="82" customFormat="1" ht="15" customHeight="1" thickTop="1" thickBot="1" x14ac:dyDescent="0.3">
      <c r="A15" s="74" t="s">
        <v>30</v>
      </c>
      <c r="C15" s="126" t="s">
        <v>293</v>
      </c>
      <c r="D15" s="107"/>
      <c r="F15" s="126" t="s">
        <v>294</v>
      </c>
      <c r="G15" s="86"/>
      <c r="M15" s="84"/>
    </row>
    <row r="16" spans="1:13" s="82" customFormat="1" ht="15" customHeight="1" thickTop="1" x14ac:dyDescent="0.25">
      <c r="A16" s="74" t="s">
        <v>37</v>
      </c>
      <c r="M16" s="84"/>
    </row>
    <row r="17" spans="1:13" s="82" customFormat="1" ht="15" customHeight="1" x14ac:dyDescent="0.25">
      <c r="A17" s="74" t="s">
        <v>157</v>
      </c>
      <c r="M17" s="84"/>
    </row>
    <row r="18" spans="1:13" s="82" customFormat="1" ht="15" customHeight="1" x14ac:dyDescent="0.25">
      <c r="A18" s="74" t="s">
        <v>36</v>
      </c>
      <c r="M18" s="84"/>
    </row>
    <row r="19" spans="1:13" s="82" customFormat="1" ht="15" customHeight="1" x14ac:dyDescent="0.25">
      <c r="A19" s="74" t="s">
        <v>33</v>
      </c>
      <c r="C19" s="84"/>
      <c r="M19" s="84"/>
    </row>
    <row r="20" spans="1:13" s="82" customFormat="1" ht="15" customHeight="1" x14ac:dyDescent="0.25">
      <c r="A20" s="74" t="s">
        <v>158</v>
      </c>
      <c r="M20" s="84"/>
    </row>
    <row r="21" spans="1:13" s="82" customFormat="1" ht="15" customHeight="1" x14ac:dyDescent="0.25">
      <c r="A21" s="74" t="s">
        <v>130</v>
      </c>
      <c r="M21" s="84"/>
    </row>
    <row r="22" spans="1:13" s="82" customFormat="1" ht="15" customHeight="1" x14ac:dyDescent="0.25">
      <c r="A22" s="74"/>
      <c r="M22" s="84"/>
    </row>
    <row r="23" spans="1:13" s="82" customFormat="1" ht="15" customHeight="1" x14ac:dyDescent="0.25">
      <c r="A23" s="74"/>
    </row>
    <row r="26" spans="1:13" ht="15" customHeight="1" x14ac:dyDescent="0.25">
      <c r="H26" s="84"/>
    </row>
    <row r="34" spans="3:7" ht="15" customHeight="1" x14ac:dyDescent="0.25">
      <c r="C34" s="79" t="s">
        <v>1</v>
      </c>
      <c r="D34" s="80" t="s">
        <v>2</v>
      </c>
    </row>
    <row r="35" spans="3:7" ht="15" customHeight="1" x14ac:dyDescent="0.25">
      <c r="C35" s="108" t="s">
        <v>4</v>
      </c>
      <c r="D35" s="108">
        <v>50</v>
      </c>
      <c r="E35" s="82"/>
    </row>
    <row r="36" spans="3:7" ht="15" customHeight="1" x14ac:dyDescent="0.25">
      <c r="C36" s="108" t="s">
        <v>6</v>
      </c>
      <c r="D36" s="108">
        <v>20</v>
      </c>
      <c r="E36" s="82"/>
    </row>
    <row r="37" spans="3:7" ht="15" customHeight="1" x14ac:dyDescent="0.25">
      <c r="C37" s="108" t="s">
        <v>8</v>
      </c>
      <c r="D37" s="108">
        <v>60</v>
      </c>
      <c r="E37" s="82"/>
    </row>
    <row r="38" spans="3:7" ht="15" customHeight="1" x14ac:dyDescent="0.25">
      <c r="C38" s="108" t="s">
        <v>10</v>
      </c>
      <c r="D38" s="108">
        <v>40</v>
      </c>
      <c r="E38" s="82"/>
    </row>
    <row r="39" spans="3:7" ht="15" customHeight="1" x14ac:dyDescent="0.25">
      <c r="C39" s="126" t="s">
        <v>293</v>
      </c>
      <c r="D39" s="107">
        <f>SUM(D35:D38)</f>
        <v>170</v>
      </c>
      <c r="E39" s="82"/>
      <c r="F39" s="82"/>
      <c r="G39" s="82"/>
    </row>
    <row r="44" spans="3:7" ht="15" customHeight="1" x14ac:dyDescent="0.25">
      <c r="C44" s="79" t="s">
        <v>12</v>
      </c>
      <c r="D44" s="80" t="s">
        <v>2</v>
      </c>
      <c r="E44" s="82"/>
    </row>
    <row r="45" spans="3:7" ht="15" customHeight="1" x14ac:dyDescent="0.25">
      <c r="C45" s="108" t="s">
        <v>25</v>
      </c>
      <c r="D45" s="108">
        <v>20</v>
      </c>
      <c r="E45" s="82"/>
    </row>
    <row r="46" spans="3:7" ht="15" customHeight="1" x14ac:dyDescent="0.25">
      <c r="C46" s="108" t="s">
        <v>26</v>
      </c>
      <c r="D46" s="108">
        <v>10</v>
      </c>
      <c r="E46" s="82"/>
    </row>
    <row r="47" spans="3:7" ht="15" customHeight="1" x14ac:dyDescent="0.25">
      <c r="C47" s="108" t="s">
        <v>27</v>
      </c>
      <c r="D47" s="108">
        <v>10</v>
      </c>
      <c r="E47" s="82"/>
    </row>
    <row r="48" spans="3:7" ht="15" customHeight="1" x14ac:dyDescent="0.25">
      <c r="C48" s="108" t="s">
        <v>28</v>
      </c>
      <c r="D48" s="108">
        <v>40</v>
      </c>
      <c r="E48" s="82"/>
    </row>
    <row r="50" spans="4:7" ht="15" customHeight="1" x14ac:dyDescent="0.25">
      <c r="D50" s="80" t="s">
        <v>29</v>
      </c>
      <c r="F50" s="80" t="s">
        <v>300</v>
      </c>
      <c r="G50" s="80" t="s">
        <v>299</v>
      </c>
    </row>
    <row r="51" spans="4:7" ht="15" customHeight="1" x14ac:dyDescent="0.25">
      <c r="D51" s="87">
        <f>SUM(D45:D48,100)</f>
        <v>180</v>
      </c>
      <c r="F51" s="127">
        <v>100</v>
      </c>
      <c r="G51" s="127">
        <f>SUM(D45:D48,F51)</f>
        <v>180</v>
      </c>
    </row>
    <row r="87" spans="1:1" ht="15" customHeight="1" x14ac:dyDescent="0.25">
      <c r="A87" s="74" t="s">
        <v>33</v>
      </c>
    </row>
    <row r="88" spans="1:1" ht="15" customHeight="1" x14ac:dyDescent="0.25">
      <c r="A88" s="74"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heetViews>
  <sheetFormatPr defaultColWidth="8.85546875" defaultRowHeight="15" x14ac:dyDescent="0.25"/>
  <cols>
    <col min="1" max="1" width="12.7109375" style="14" customWidth="1"/>
    <col min="2" max="2" width="82.85546875"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15" t="s">
        <v>159</v>
      </c>
      <c r="B1" s="41"/>
      <c r="C1" s="76"/>
      <c r="D1" s="88"/>
      <c r="E1" s="88"/>
      <c r="F1" s="88"/>
      <c r="G1" s="88"/>
      <c r="H1" s="41"/>
      <c r="I1" s="41"/>
      <c r="J1" s="41"/>
    </row>
    <row r="2" spans="1:10" ht="15" customHeight="1" x14ac:dyDescent="0.3">
      <c r="A2" s="85" t="s">
        <v>168</v>
      </c>
      <c r="B2" s="41"/>
      <c r="C2" s="7" t="s">
        <v>1</v>
      </c>
      <c r="D2" s="8" t="s">
        <v>2</v>
      </c>
      <c r="E2" s="43"/>
      <c r="F2" s="11" t="s">
        <v>3</v>
      </c>
      <c r="G2" s="8" t="s">
        <v>2</v>
      </c>
      <c r="H2" s="41"/>
      <c r="I2" s="41"/>
      <c r="J2" s="5"/>
    </row>
    <row r="3" spans="1:10" ht="15" customHeight="1" x14ac:dyDescent="0.3">
      <c r="A3" s="85" t="s">
        <v>169</v>
      </c>
      <c r="B3" s="41"/>
      <c r="C3" s="112" t="s">
        <v>4</v>
      </c>
      <c r="D3" s="113">
        <v>50</v>
      </c>
      <c r="E3" s="43"/>
      <c r="F3" s="114" t="s">
        <v>5</v>
      </c>
      <c r="G3" s="113">
        <v>50</v>
      </c>
      <c r="H3" s="41"/>
      <c r="I3" s="41"/>
      <c r="J3" s="5"/>
    </row>
    <row r="4" spans="1:10" ht="15" customHeight="1" x14ac:dyDescent="0.3">
      <c r="A4" s="85" t="s">
        <v>170</v>
      </c>
      <c r="B4" s="41"/>
      <c r="C4" s="112" t="s">
        <v>6</v>
      </c>
      <c r="D4" s="113">
        <v>20</v>
      </c>
      <c r="E4" s="43"/>
      <c r="F4" s="114" t="s">
        <v>7</v>
      </c>
      <c r="G4" s="113">
        <v>30</v>
      </c>
      <c r="H4" s="41"/>
      <c r="I4" s="41"/>
      <c r="J4" s="5"/>
    </row>
    <row r="5" spans="1:10" s="4" customFormat="1" ht="15" customHeight="1" x14ac:dyDescent="0.3">
      <c r="A5" s="85" t="s">
        <v>171</v>
      </c>
      <c r="B5" s="42"/>
      <c r="C5" s="112" t="s">
        <v>8</v>
      </c>
      <c r="D5" s="113">
        <v>60</v>
      </c>
      <c r="E5" s="43"/>
      <c r="F5" s="114" t="s">
        <v>9</v>
      </c>
      <c r="G5" s="113">
        <v>10</v>
      </c>
      <c r="H5" s="42"/>
      <c r="I5" s="42"/>
      <c r="J5" s="5"/>
    </row>
    <row r="6" spans="1:10" s="4" customFormat="1" ht="15" customHeight="1" x14ac:dyDescent="0.25">
      <c r="A6" s="95" t="s">
        <v>265</v>
      </c>
      <c r="B6" s="42"/>
      <c r="C6" s="112" t="s">
        <v>10</v>
      </c>
      <c r="D6" s="113">
        <v>40</v>
      </c>
      <c r="E6" s="43"/>
      <c r="F6" s="114" t="s">
        <v>11</v>
      </c>
      <c r="G6" s="113">
        <v>50</v>
      </c>
      <c r="H6" s="42"/>
      <c r="I6" s="42"/>
      <c r="J6" s="5"/>
    </row>
    <row r="7" spans="1:10" s="4" customFormat="1" ht="15" customHeight="1" x14ac:dyDescent="0.25">
      <c r="A7" s="28" t="s">
        <v>160</v>
      </c>
      <c r="B7" s="42"/>
      <c r="C7" s="10" t="s">
        <v>295</v>
      </c>
      <c r="D7" s="111"/>
      <c r="E7" s="43"/>
      <c r="F7" s="10" t="s">
        <v>295</v>
      </c>
      <c r="G7" s="111"/>
      <c r="H7" s="42"/>
      <c r="I7" s="42"/>
      <c r="J7" s="5"/>
    </row>
    <row r="8" spans="1:10" s="4" customFormat="1" ht="15" customHeight="1" x14ac:dyDescent="0.25">
      <c r="A8" s="17" t="s">
        <v>161</v>
      </c>
      <c r="B8" s="42"/>
      <c r="C8" s="42"/>
      <c r="D8" s="43"/>
      <c r="E8" s="43"/>
      <c r="F8" s="42"/>
      <c r="G8" s="43"/>
      <c r="H8" s="42"/>
      <c r="I8" s="42"/>
      <c r="J8" s="5"/>
    </row>
    <row r="9" spans="1:10" s="4" customFormat="1" ht="15" customHeight="1" x14ac:dyDescent="0.25">
      <c r="A9" s="95" t="s">
        <v>167</v>
      </c>
      <c r="B9" s="42"/>
      <c r="C9" s="7" t="s">
        <v>12</v>
      </c>
      <c r="D9" s="8" t="s">
        <v>2</v>
      </c>
      <c r="E9" s="43"/>
      <c r="F9" s="11" t="s">
        <v>12</v>
      </c>
      <c r="G9" s="8" t="s">
        <v>2</v>
      </c>
      <c r="H9" s="42"/>
      <c r="I9" s="42"/>
      <c r="J9" s="5"/>
    </row>
    <row r="10" spans="1:10" s="4" customFormat="1" ht="15" customHeight="1" x14ac:dyDescent="0.25">
      <c r="A10" s="28" t="s">
        <v>162</v>
      </c>
      <c r="B10" s="42"/>
      <c r="C10" s="112" t="s">
        <v>13</v>
      </c>
      <c r="D10" s="113">
        <v>50</v>
      </c>
      <c r="E10" s="43"/>
      <c r="F10" s="114" t="s">
        <v>13</v>
      </c>
      <c r="G10" s="113">
        <v>50</v>
      </c>
      <c r="H10" s="42"/>
      <c r="I10" s="42"/>
      <c r="J10" s="5"/>
    </row>
    <row r="11" spans="1:10" s="4" customFormat="1" ht="15" customHeight="1" x14ac:dyDescent="0.25">
      <c r="A11" s="17" t="s">
        <v>163</v>
      </c>
      <c r="B11" s="42"/>
      <c r="C11" s="112" t="s">
        <v>14</v>
      </c>
      <c r="D11" s="113">
        <v>100</v>
      </c>
      <c r="E11" s="43"/>
      <c r="F11" s="114" t="s">
        <v>14</v>
      </c>
      <c r="G11" s="113">
        <v>100</v>
      </c>
      <c r="H11" s="42"/>
      <c r="I11" s="42"/>
      <c r="J11" s="5"/>
    </row>
    <row r="12" spans="1:10" s="4" customFormat="1" ht="15" customHeight="1" x14ac:dyDescent="0.25">
      <c r="A12" s="17" t="s">
        <v>164</v>
      </c>
      <c r="B12" s="42"/>
      <c r="C12" s="112" t="s">
        <v>15</v>
      </c>
      <c r="D12" s="113">
        <v>40</v>
      </c>
      <c r="E12" s="43"/>
      <c r="F12" s="114" t="s">
        <v>15</v>
      </c>
      <c r="G12" s="113">
        <v>40</v>
      </c>
      <c r="H12" s="42"/>
      <c r="I12" s="42"/>
      <c r="J12" s="5"/>
    </row>
    <row r="13" spans="1:10" s="4" customFormat="1" ht="15" customHeight="1" x14ac:dyDescent="0.25">
      <c r="A13" s="17" t="s">
        <v>165</v>
      </c>
      <c r="B13" s="42"/>
      <c r="C13" s="112" t="s">
        <v>16</v>
      </c>
      <c r="D13" s="113">
        <v>50</v>
      </c>
      <c r="E13" s="43"/>
      <c r="F13" s="114" t="s">
        <v>16</v>
      </c>
      <c r="G13" s="113">
        <v>50</v>
      </c>
      <c r="H13" s="42"/>
      <c r="I13" s="42"/>
      <c r="J13" s="5"/>
    </row>
    <row r="14" spans="1:10" s="4" customFormat="1" ht="15" customHeight="1" thickBot="1" x14ac:dyDescent="0.3">
      <c r="A14" s="17" t="s">
        <v>166</v>
      </c>
      <c r="B14" s="42"/>
      <c r="C14" s="112" t="s">
        <v>17</v>
      </c>
      <c r="D14" s="113">
        <v>20</v>
      </c>
      <c r="E14" s="43"/>
      <c r="F14" s="114" t="s">
        <v>17</v>
      </c>
      <c r="G14" s="113">
        <v>20</v>
      </c>
      <c r="H14" s="42"/>
      <c r="I14" s="42"/>
      <c r="J14" s="42"/>
    </row>
    <row r="15" spans="1:10" s="4" customFormat="1" ht="15" customHeight="1" thickTop="1" thickBot="1" x14ac:dyDescent="0.3">
      <c r="A15" s="27"/>
      <c r="B15" s="42"/>
      <c r="C15" s="10" t="s">
        <v>295</v>
      </c>
      <c r="D15" s="111"/>
      <c r="E15" s="43"/>
      <c r="F15" s="42"/>
      <c r="G15" s="91"/>
      <c r="H15" s="42"/>
      <c r="I15" s="42"/>
      <c r="J15" s="42"/>
    </row>
    <row r="16" spans="1:10" s="4" customFormat="1" ht="15" customHeight="1" thickTop="1" x14ac:dyDescent="0.25">
      <c r="A16" s="17"/>
      <c r="B16" s="42"/>
      <c r="C16" s="42"/>
      <c r="D16" s="42"/>
      <c r="E16" s="42"/>
      <c r="F16" s="42"/>
      <c r="G16" s="42"/>
      <c r="H16" s="42"/>
      <c r="I16" s="42"/>
      <c r="J16" s="42"/>
    </row>
    <row r="17" spans="1:3" s="4" customFormat="1" ht="15" customHeight="1" x14ac:dyDescent="0.25">
      <c r="A17" s="17"/>
      <c r="B17" s="42"/>
      <c r="C17" s="9"/>
    </row>
    <row r="18" spans="1:3" s="4" customFormat="1" ht="15" customHeight="1" x14ac:dyDescent="0.25">
      <c r="A18" s="17"/>
      <c r="B18" s="42"/>
      <c r="C18" s="9"/>
    </row>
    <row r="19" spans="1:3" s="4" customFormat="1" ht="15" customHeight="1" x14ac:dyDescent="0.25">
      <c r="A19" s="17"/>
      <c r="B19" s="42"/>
      <c r="C19" s="9"/>
    </row>
    <row r="20" spans="1:3" s="4" customFormat="1" ht="15" customHeight="1" x14ac:dyDescent="0.25">
      <c r="A20" s="17"/>
      <c r="B20" s="42"/>
      <c r="C20" s="9"/>
    </row>
    <row r="21" spans="1:3" s="4" customFormat="1" ht="15" customHeight="1" x14ac:dyDescent="0.25">
      <c r="A21" s="17"/>
      <c r="B21" s="42"/>
      <c r="C21" s="9"/>
    </row>
    <row r="22" spans="1:3" s="4" customFormat="1" ht="15" customHeight="1" x14ac:dyDescent="0.25">
      <c r="A22" s="17"/>
      <c r="B22" s="42"/>
      <c r="C22" s="9"/>
    </row>
    <row r="23" spans="1:3" s="4" customFormat="1" ht="15" customHeight="1" x14ac:dyDescent="0.25">
      <c r="A23" s="17"/>
      <c r="B23" s="42"/>
      <c r="C23" s="9"/>
    </row>
    <row r="24" spans="1:3" s="4" customFormat="1" ht="15" customHeight="1" x14ac:dyDescent="0.25">
      <c r="A24" s="17"/>
      <c r="B24" s="42"/>
      <c r="C24" s="9"/>
    </row>
    <row r="25" spans="1:3" s="4" customFormat="1" ht="15" customHeight="1" x14ac:dyDescent="0.25">
      <c r="A25" s="17"/>
      <c r="B25" s="42"/>
      <c r="C25" s="9"/>
    </row>
    <row r="26" spans="1:3" s="4" customFormat="1" ht="15" customHeight="1" x14ac:dyDescent="0.25">
      <c r="A26" s="17"/>
      <c r="B26" s="42"/>
      <c r="C26" s="9"/>
    </row>
    <row r="27" spans="1:3" x14ac:dyDescent="0.25">
      <c r="A27" s="17"/>
      <c r="B27" s="41"/>
    </row>
    <row r="28" spans="1:3" x14ac:dyDescent="0.25">
      <c r="A28" s="17"/>
      <c r="B28" s="41"/>
    </row>
    <row r="29" spans="1:3" ht="15" customHeight="1" x14ac:dyDescent="0.25">
      <c r="A29" s="17"/>
      <c r="B29" s="41"/>
      <c r="C29" s="9" t="s">
        <v>18</v>
      </c>
    </row>
    <row r="30" spans="1:3" ht="15" customHeight="1" x14ac:dyDescent="0.25">
      <c r="A30" s="17"/>
      <c r="B30" s="41"/>
      <c r="C30" s="9" t="s">
        <v>19</v>
      </c>
    </row>
    <row r="31" spans="1:3" ht="15" customHeight="1" x14ac:dyDescent="0.25">
      <c r="A31" s="17"/>
      <c r="B31" s="41"/>
      <c r="C31" s="9" t="s">
        <v>20</v>
      </c>
    </row>
    <row r="32" spans="1:3" ht="15" customHeight="1" x14ac:dyDescent="0.25">
      <c r="A32" s="17"/>
      <c r="B32" s="41"/>
      <c r="C32" s="9" t="s">
        <v>21</v>
      </c>
    </row>
    <row r="33" spans="1:9" ht="15" customHeight="1" x14ac:dyDescent="0.25">
      <c r="A33" s="17"/>
      <c r="B33" s="41"/>
      <c r="C33" s="9" t="s">
        <v>22</v>
      </c>
      <c r="D33" s="41"/>
      <c r="E33" s="41"/>
      <c r="F33" s="42"/>
      <c r="G33" s="41"/>
      <c r="H33" s="41"/>
      <c r="I33" s="41"/>
    </row>
    <row r="34" spans="1:9" ht="15" customHeight="1" x14ac:dyDescent="0.25">
      <c r="A34" s="17"/>
      <c r="B34" s="41"/>
      <c r="C34" s="9" t="s">
        <v>23</v>
      </c>
      <c r="D34" s="41"/>
      <c r="E34" s="41"/>
      <c r="F34" s="42"/>
      <c r="G34" s="41"/>
      <c r="H34" s="41"/>
      <c r="I34" s="41"/>
    </row>
    <row r="35" spans="1:9" ht="15" customHeight="1" x14ac:dyDescent="0.25">
      <c r="A35" s="17"/>
      <c r="B35" s="41"/>
      <c r="C35" s="9" t="s">
        <v>24</v>
      </c>
      <c r="D35" s="41"/>
      <c r="E35" s="41"/>
      <c r="F35" s="42"/>
      <c r="G35" s="41"/>
      <c r="H35" s="41"/>
      <c r="I35" s="41"/>
    </row>
    <row r="36" spans="1:9" x14ac:dyDescent="0.25">
      <c r="A36" s="17"/>
      <c r="B36" s="41"/>
      <c r="D36" s="41"/>
      <c r="E36" s="41"/>
      <c r="F36" s="42"/>
      <c r="G36" s="41"/>
      <c r="H36" s="41"/>
      <c r="I36" s="41"/>
    </row>
    <row r="41" spans="1:9" ht="15" customHeight="1" x14ac:dyDescent="0.25">
      <c r="B41" s="41"/>
      <c r="C41" s="9" t="s">
        <v>30</v>
      </c>
      <c r="D41" s="41"/>
      <c r="E41" s="41"/>
      <c r="F41" s="42"/>
      <c r="G41" s="41"/>
      <c r="H41" s="41"/>
      <c r="I41" s="41"/>
    </row>
    <row r="42" spans="1:9" ht="15" customHeight="1" x14ac:dyDescent="0.25">
      <c r="B42" s="41"/>
      <c r="C42" s="9" t="s">
        <v>37</v>
      </c>
      <c r="D42" s="41"/>
      <c r="E42" s="41"/>
      <c r="F42" s="42"/>
      <c r="G42" s="41"/>
      <c r="H42" s="41"/>
      <c r="I42" s="41"/>
    </row>
    <row r="43" spans="1:9" ht="15" customHeight="1" x14ac:dyDescent="0.25">
      <c r="B43" s="41"/>
      <c r="C43" s="9" t="s">
        <v>31</v>
      </c>
      <c r="D43" s="41"/>
      <c r="E43" s="41"/>
      <c r="F43" s="42"/>
      <c r="G43" s="41"/>
      <c r="H43" s="41"/>
      <c r="I43" s="41"/>
    </row>
    <row r="44" spans="1:9" ht="15" customHeight="1" x14ac:dyDescent="0.25">
      <c r="B44" s="41"/>
      <c r="C44" s="9" t="s">
        <v>32</v>
      </c>
      <c r="D44" s="41"/>
      <c r="E44" s="41"/>
      <c r="F44" s="42"/>
      <c r="G44" s="41"/>
      <c r="H44" s="41"/>
      <c r="I44" s="41"/>
    </row>
    <row r="45" spans="1:9" ht="15" customHeight="1" x14ac:dyDescent="0.25">
      <c r="B45" s="41"/>
      <c r="C45" s="9" t="s">
        <v>33</v>
      </c>
      <c r="D45" s="41"/>
      <c r="E45" s="41"/>
      <c r="F45" s="42"/>
      <c r="G45" s="41"/>
      <c r="H45" s="41"/>
      <c r="I45" s="41"/>
    </row>
    <row r="46" spans="1:9" ht="15" customHeight="1" x14ac:dyDescent="0.25">
      <c r="B46" s="41"/>
      <c r="C46" s="9" t="s">
        <v>34</v>
      </c>
      <c r="D46" s="41"/>
      <c r="E46" s="41"/>
      <c r="F46" s="42"/>
      <c r="G46" s="41"/>
      <c r="H46" s="41"/>
      <c r="I46" s="41"/>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heetViews>
  <sheetFormatPr defaultColWidth="8.85546875" defaultRowHeight="15" x14ac:dyDescent="0.25"/>
  <cols>
    <col min="1" max="1" width="12.7109375" style="18"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8" ht="60" customHeight="1" x14ac:dyDescent="0.25">
      <c r="B1" s="41"/>
      <c r="C1" s="76"/>
      <c r="D1" s="88"/>
      <c r="E1" s="88"/>
      <c r="F1" s="88"/>
      <c r="G1" s="88"/>
      <c r="H1" s="41"/>
    </row>
    <row r="2" spans="1:8" ht="15" customHeight="1" x14ac:dyDescent="0.25">
      <c r="A2" s="16" t="s">
        <v>38</v>
      </c>
      <c r="B2" s="41"/>
      <c r="C2" s="7" t="s">
        <v>1</v>
      </c>
      <c r="D2" s="8" t="s">
        <v>2</v>
      </c>
      <c r="E2" s="43"/>
      <c r="F2" s="11" t="s">
        <v>3</v>
      </c>
      <c r="G2" s="8" t="s">
        <v>2</v>
      </c>
      <c r="H2" s="5"/>
    </row>
    <row r="3" spans="1:8" ht="15" customHeight="1" x14ac:dyDescent="0.25">
      <c r="A3" s="16" t="s">
        <v>39</v>
      </c>
      <c r="B3" s="41"/>
      <c r="C3" s="112" t="s">
        <v>4</v>
      </c>
      <c r="D3" s="113">
        <v>50</v>
      </c>
      <c r="E3" s="43"/>
      <c r="F3" s="114" t="s">
        <v>5</v>
      </c>
      <c r="G3" s="113">
        <v>50</v>
      </c>
      <c r="H3" s="5"/>
    </row>
    <row r="4" spans="1:8" ht="15" customHeight="1" x14ac:dyDescent="0.25">
      <c r="A4" s="96" t="s">
        <v>172</v>
      </c>
      <c r="B4" s="41"/>
      <c r="C4" s="112" t="s">
        <v>6</v>
      </c>
      <c r="D4" s="113">
        <v>20</v>
      </c>
      <c r="E4" s="43"/>
      <c r="F4" s="114" t="s">
        <v>7</v>
      </c>
      <c r="G4" s="113">
        <v>30</v>
      </c>
      <c r="H4" s="5"/>
    </row>
    <row r="5" spans="1:8" s="4" customFormat="1" ht="15" customHeight="1" x14ac:dyDescent="0.25">
      <c r="A5" s="96" t="s">
        <v>173</v>
      </c>
      <c r="B5" s="42"/>
      <c r="C5" s="112" t="s">
        <v>8</v>
      </c>
      <c r="D5" s="113">
        <v>60</v>
      </c>
      <c r="E5" s="43"/>
      <c r="F5" s="114" t="s">
        <v>9</v>
      </c>
      <c r="G5" s="113">
        <v>10</v>
      </c>
      <c r="H5" s="5"/>
    </row>
    <row r="6" spans="1:8" s="4" customFormat="1" ht="15" customHeight="1" x14ac:dyDescent="0.25">
      <c r="A6" s="96" t="s">
        <v>174</v>
      </c>
      <c r="B6" s="42"/>
      <c r="C6" s="112" t="s">
        <v>10</v>
      </c>
      <c r="D6" s="113">
        <v>40</v>
      </c>
      <c r="E6" s="43"/>
      <c r="F6" s="114" t="s">
        <v>11</v>
      </c>
      <c r="G6" s="113">
        <v>50</v>
      </c>
      <c r="H6" s="5"/>
    </row>
    <row r="7" spans="1:8" s="4" customFormat="1" ht="15" customHeight="1" x14ac:dyDescent="0.25">
      <c r="A7" s="97" t="s">
        <v>35</v>
      </c>
      <c r="B7" s="42"/>
      <c r="C7" s="10" t="s">
        <v>296</v>
      </c>
      <c r="D7" s="111"/>
      <c r="E7" s="43"/>
      <c r="F7" s="10" t="s">
        <v>297</v>
      </c>
      <c r="G7" s="111"/>
      <c r="H7" s="5"/>
    </row>
    <row r="8" spans="1:8" s="4" customFormat="1" ht="15" customHeight="1" x14ac:dyDescent="0.25">
      <c r="A8" s="17" t="s">
        <v>175</v>
      </c>
      <c r="B8" s="42"/>
      <c r="C8" s="42"/>
      <c r="D8" s="43"/>
      <c r="E8" s="43"/>
      <c r="F8" s="42"/>
      <c r="G8" s="43"/>
      <c r="H8" s="5"/>
    </row>
    <row r="9" spans="1:8" s="4" customFormat="1" ht="15" customHeight="1" x14ac:dyDescent="0.25">
      <c r="A9" s="17" t="s">
        <v>176</v>
      </c>
      <c r="B9" s="42"/>
      <c r="C9" s="7" t="s">
        <v>12</v>
      </c>
      <c r="D9" s="8" t="s">
        <v>2</v>
      </c>
      <c r="E9" s="43"/>
      <c r="F9" s="11" t="s">
        <v>12</v>
      </c>
      <c r="G9" s="8" t="s">
        <v>2</v>
      </c>
      <c r="H9" s="5"/>
    </row>
    <row r="10" spans="1:8" s="4" customFormat="1" ht="15" customHeight="1" x14ac:dyDescent="0.25">
      <c r="A10" s="16" t="s">
        <v>33</v>
      </c>
      <c r="B10" s="42"/>
      <c r="C10" s="112" t="s">
        <v>13</v>
      </c>
      <c r="D10" s="113">
        <v>50</v>
      </c>
      <c r="E10" s="43"/>
      <c r="F10" s="114" t="s">
        <v>13</v>
      </c>
      <c r="G10" s="113">
        <v>50</v>
      </c>
      <c r="H10" s="5"/>
    </row>
    <row r="11" spans="1:8" s="4" customFormat="1" ht="15" customHeight="1" x14ac:dyDescent="0.25">
      <c r="A11" s="97" t="s">
        <v>266</v>
      </c>
      <c r="B11" s="42"/>
      <c r="C11" s="112" t="s">
        <v>14</v>
      </c>
      <c r="D11" s="113">
        <v>100</v>
      </c>
      <c r="E11" s="43"/>
      <c r="F11" s="114" t="s">
        <v>14</v>
      </c>
      <c r="G11" s="113">
        <v>100</v>
      </c>
      <c r="H11" s="5"/>
    </row>
    <row r="12" spans="1:8" s="4" customFormat="1" ht="15" customHeight="1" x14ac:dyDescent="0.25">
      <c r="A12" s="17"/>
      <c r="B12" s="42"/>
      <c r="C12" s="112" t="s">
        <v>15</v>
      </c>
      <c r="D12" s="113">
        <v>40</v>
      </c>
      <c r="E12" s="43"/>
      <c r="F12" s="114" t="s">
        <v>15</v>
      </c>
      <c r="G12" s="113">
        <v>40</v>
      </c>
      <c r="H12" s="5"/>
    </row>
    <row r="13" spans="1:8" s="4" customFormat="1" ht="15" customHeight="1" x14ac:dyDescent="0.25">
      <c r="A13" s="17"/>
      <c r="B13" s="42"/>
      <c r="C13" s="112" t="s">
        <v>16</v>
      </c>
      <c r="D13" s="113">
        <v>50</v>
      </c>
      <c r="E13" s="43"/>
      <c r="F13" s="114" t="s">
        <v>16</v>
      </c>
      <c r="G13" s="113">
        <v>50</v>
      </c>
      <c r="H13" s="5"/>
    </row>
    <row r="14" spans="1:8" s="4" customFormat="1" ht="15" customHeight="1" x14ac:dyDescent="0.25">
      <c r="A14" s="17"/>
      <c r="B14" s="42"/>
      <c r="C14" s="112" t="s">
        <v>17</v>
      </c>
      <c r="D14" s="113">
        <v>20</v>
      </c>
      <c r="E14" s="43"/>
      <c r="F14" s="114" t="s">
        <v>17</v>
      </c>
      <c r="G14" s="113">
        <v>20</v>
      </c>
      <c r="H14" s="42"/>
    </row>
    <row r="15" spans="1:8" s="4" customFormat="1" ht="15" customHeight="1" x14ac:dyDescent="0.25">
      <c r="A15" s="18"/>
      <c r="B15" s="42"/>
      <c r="C15" s="10" t="s">
        <v>298</v>
      </c>
      <c r="D15" s="111"/>
      <c r="E15" s="43"/>
      <c r="F15" s="10"/>
      <c r="G15" s="111">
        <f>MIN(G10:G14,10)</f>
        <v>10</v>
      </c>
      <c r="H15" s="42"/>
    </row>
    <row r="16" spans="1:8" s="4" customFormat="1" ht="15" customHeight="1" x14ac:dyDescent="0.25">
      <c r="A16" s="18"/>
      <c r="B16" s="42"/>
      <c r="C16" s="42"/>
      <c r="D16" s="42"/>
      <c r="E16" s="42"/>
      <c r="F16" s="42"/>
      <c r="G16" s="42"/>
      <c r="H16" s="42"/>
    </row>
    <row r="17" spans="1:1" s="4" customFormat="1" ht="15" customHeight="1" x14ac:dyDescent="0.25">
      <c r="A17" s="18"/>
    </row>
    <row r="18" spans="1:1" s="4" customFormat="1" ht="15" customHeight="1" x14ac:dyDescent="0.25">
      <c r="A18" s="19"/>
    </row>
    <row r="19" spans="1:1" s="4" customFormat="1" ht="15" customHeight="1" x14ac:dyDescent="0.25">
      <c r="A19" s="16" t="s">
        <v>40</v>
      </c>
    </row>
    <row r="20" spans="1:1" s="4" customFormat="1" ht="15" customHeight="1" x14ac:dyDescent="0.25">
      <c r="A20" s="18"/>
    </row>
    <row r="21" spans="1:1" s="4" customFormat="1" ht="15" customHeight="1" x14ac:dyDescent="0.25">
      <c r="A21" s="16" t="s">
        <v>30</v>
      </c>
    </row>
    <row r="22" spans="1:1" s="4" customFormat="1" ht="15" customHeight="1" x14ac:dyDescent="0.25">
      <c r="A22" s="16" t="s">
        <v>41</v>
      </c>
    </row>
    <row r="23" spans="1:1" s="4" customFormat="1" ht="15" customHeight="1" x14ac:dyDescent="0.25">
      <c r="A23" s="16" t="s">
        <v>42</v>
      </c>
    </row>
    <row r="24" spans="1:1" s="4" customFormat="1" ht="15" customHeight="1" x14ac:dyDescent="0.25">
      <c r="A24" s="16" t="s">
        <v>32</v>
      </c>
    </row>
    <row r="25" spans="1:1" s="4" customFormat="1" ht="15" customHeight="1" x14ac:dyDescent="0.25">
      <c r="A25" s="16" t="s">
        <v>33</v>
      </c>
    </row>
    <row r="27" spans="1:1" ht="15" customHeight="1" x14ac:dyDescent="0.25"/>
    <row r="28" spans="1:1" ht="15" customHeight="1" x14ac:dyDescent="0.25"/>
    <row r="29" spans="1:1" ht="15" customHeight="1" x14ac:dyDescent="0.25"/>
    <row r="30" spans="1:1" ht="15" customHeight="1" x14ac:dyDescent="0.25"/>
    <row r="31" spans="1:1" ht="15" customHeight="1" x14ac:dyDescent="0.25"/>
    <row r="32" spans="1:1" ht="15" customHeight="1" x14ac:dyDescent="0.25"/>
    <row r="33" spans="3:7" ht="15" customHeight="1" x14ac:dyDescent="0.25">
      <c r="C33" s="41"/>
      <c r="D33" s="42"/>
      <c r="E33" s="41"/>
      <c r="F33" s="41"/>
      <c r="G33" s="41"/>
    </row>
    <row r="39" spans="3:7" ht="15" customHeight="1" x14ac:dyDescent="0.25">
      <c r="C39" s="41"/>
      <c r="D39" s="42"/>
      <c r="E39" s="41"/>
      <c r="F39" s="41"/>
      <c r="G39" s="41"/>
    </row>
    <row r="40" spans="3:7" ht="15" customHeight="1" x14ac:dyDescent="0.25">
      <c r="C40" s="41"/>
      <c r="D40" s="42"/>
      <c r="E40" s="41"/>
      <c r="F40" s="41"/>
      <c r="G40" s="41"/>
    </row>
    <row r="41" spans="3:7" ht="15" customHeight="1" x14ac:dyDescent="0.25">
      <c r="C41" s="41"/>
      <c r="D41" s="42"/>
      <c r="E41" s="41"/>
      <c r="F41" s="41"/>
      <c r="G41" s="41"/>
    </row>
    <row r="42" spans="3:7" ht="15" customHeight="1" x14ac:dyDescent="0.25">
      <c r="C42" s="41"/>
      <c r="D42" s="42"/>
      <c r="E42" s="41"/>
      <c r="F42" s="41"/>
      <c r="G42" s="41"/>
    </row>
    <row r="43" spans="3:7" ht="15" customHeight="1" x14ac:dyDescent="0.25">
      <c r="C43" s="41"/>
      <c r="D43" s="42"/>
      <c r="E43" s="41"/>
      <c r="F43" s="41"/>
      <c r="G43" s="41"/>
    </row>
    <row r="44" spans="3:7" ht="15" customHeight="1" x14ac:dyDescent="0.25">
      <c r="C44" s="41"/>
      <c r="D44" s="42"/>
      <c r="E44" s="41"/>
      <c r="F44" s="41"/>
      <c r="G44" s="41"/>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heetViews>
  <sheetFormatPr defaultRowHeight="15" x14ac:dyDescent="0.25"/>
  <cols>
    <col min="1" max="1" width="12.7109375" customWidth="1"/>
    <col min="2" max="2" width="82.85546875" customWidth="1"/>
    <col min="3" max="3" width="23" bestFit="1" customWidth="1"/>
    <col min="4" max="4" width="15.140625" customWidth="1"/>
  </cols>
  <sheetData>
    <row r="1" spans="1:6" ht="60" customHeight="1" x14ac:dyDescent="0.25">
      <c r="A1" s="29" t="s">
        <v>80</v>
      </c>
    </row>
    <row r="2" spans="1:6" x14ac:dyDescent="0.25">
      <c r="A2" s="29" t="s">
        <v>177</v>
      </c>
    </row>
    <row r="3" spans="1:6" ht="33" x14ac:dyDescent="0.25">
      <c r="A3" s="29" t="s">
        <v>178</v>
      </c>
      <c r="C3" s="76"/>
      <c r="D3" s="89"/>
    </row>
    <row r="4" spans="1:6" x14ac:dyDescent="0.25">
      <c r="A4" s="29" t="s">
        <v>179</v>
      </c>
    </row>
    <row r="5" spans="1:6" x14ac:dyDescent="0.25">
      <c r="A5" s="29" t="s">
        <v>180</v>
      </c>
      <c r="C5" s="32" t="s">
        <v>80</v>
      </c>
      <c r="D5" s="32"/>
    </row>
    <row r="6" spans="1:6" ht="16.5" customHeight="1" x14ac:dyDescent="0.3">
      <c r="A6" s="29" t="s">
        <v>181</v>
      </c>
      <c r="C6" s="105" t="s">
        <v>54</v>
      </c>
      <c r="D6" s="115"/>
      <c r="F6" s="98" t="str">
        <f ca="1">IF(D6=TODAY(),"You got it!","")</f>
        <v/>
      </c>
    </row>
    <row r="7" spans="1:6" ht="16.5" customHeight="1" thickBot="1" x14ac:dyDescent="0.3">
      <c r="A7" s="31" t="s">
        <v>268</v>
      </c>
      <c r="C7" s="105" t="s">
        <v>78</v>
      </c>
      <c r="D7" s="115"/>
    </row>
    <row r="8" spans="1:6" ht="16.5" customHeight="1" thickTop="1" thickBot="1" x14ac:dyDescent="0.3">
      <c r="A8" s="29" t="s">
        <v>81</v>
      </c>
      <c r="C8" s="105" t="s">
        <v>79</v>
      </c>
      <c r="D8" s="116">
        <f>D7-D6</f>
        <v>0</v>
      </c>
    </row>
    <row r="9" spans="1:6" ht="15.75" thickTop="1" x14ac:dyDescent="0.25">
      <c r="A9" s="29" t="s">
        <v>182</v>
      </c>
    </row>
    <row r="10" spans="1:6" ht="15" customHeight="1" thickBot="1" x14ac:dyDescent="0.3">
      <c r="A10" s="31" t="s">
        <v>308</v>
      </c>
      <c r="C10" s="105" t="s">
        <v>90</v>
      </c>
      <c r="D10" s="117"/>
    </row>
    <row r="11" spans="1:6" ht="15" customHeight="1" thickTop="1" thickBot="1" x14ac:dyDescent="0.3">
      <c r="A11" s="31" t="s">
        <v>309</v>
      </c>
      <c r="C11" s="105" t="s">
        <v>89</v>
      </c>
      <c r="D11" s="118">
        <f>D6+D10</f>
        <v>0</v>
      </c>
    </row>
    <row r="12" spans="1:6" ht="15.75" thickTop="1" x14ac:dyDescent="0.25">
      <c r="A12" s="29" t="s">
        <v>267</v>
      </c>
    </row>
    <row r="13" spans="1:6" x14ac:dyDescent="0.25">
      <c r="A13" s="29" t="s">
        <v>139</v>
      </c>
    </row>
    <row r="14" spans="1:6" x14ac:dyDescent="0.25">
      <c r="A14" s="29" t="s">
        <v>140</v>
      </c>
    </row>
    <row r="15" spans="1:6" x14ac:dyDescent="0.25">
      <c r="A15" s="29" t="s">
        <v>30</v>
      </c>
    </row>
    <row r="16" spans="1:6" x14ac:dyDescent="0.25">
      <c r="A16" s="29" t="s">
        <v>183</v>
      </c>
    </row>
    <row r="17" spans="1:4" x14ac:dyDescent="0.25">
      <c r="A17" s="29" t="s">
        <v>184</v>
      </c>
    </row>
    <row r="18" spans="1:4" x14ac:dyDescent="0.25">
      <c r="A18" s="29" t="s">
        <v>185</v>
      </c>
    </row>
    <row r="19" spans="1:4" x14ac:dyDescent="0.25">
      <c r="A19" s="29" t="s">
        <v>33</v>
      </c>
    </row>
    <row r="25" spans="1:4" ht="15" customHeight="1" x14ac:dyDescent="0.25">
      <c r="C25" s="76"/>
      <c r="D25" s="89"/>
    </row>
    <row r="27" spans="1:4" x14ac:dyDescent="0.25">
      <c r="C27" s="32" t="s">
        <v>81</v>
      </c>
      <c r="D27" s="32"/>
    </row>
    <row r="28" spans="1:4" x14ac:dyDescent="0.25">
      <c r="C28" s="105" t="s">
        <v>82</v>
      </c>
      <c r="D28" s="119"/>
    </row>
    <row r="31" spans="1:4" x14ac:dyDescent="0.25">
      <c r="C31" s="32" t="s">
        <v>87</v>
      </c>
      <c r="D31" s="32"/>
    </row>
    <row r="32" spans="1:4" x14ac:dyDescent="0.25">
      <c r="C32" s="105" t="s">
        <v>83</v>
      </c>
      <c r="D32" s="120">
        <v>0.33333333333333331</v>
      </c>
    </row>
    <row r="33" spans="3:4" x14ac:dyDescent="0.25">
      <c r="C33" s="105" t="s">
        <v>85</v>
      </c>
      <c r="D33" s="120">
        <v>0.5</v>
      </c>
    </row>
    <row r="34" spans="3:4" x14ac:dyDescent="0.25">
      <c r="C34" s="105" t="s">
        <v>86</v>
      </c>
      <c r="D34" s="120">
        <v>0.54166666666666663</v>
      </c>
    </row>
    <row r="35" spans="3:4" ht="15.75" thickBot="1" x14ac:dyDescent="0.3">
      <c r="C35" s="105" t="s">
        <v>84</v>
      </c>
      <c r="D35" s="120">
        <v>0.70833333333333337</v>
      </c>
    </row>
    <row r="36" spans="3:4" ht="16.5" thickTop="1" thickBot="1" x14ac:dyDescent="0.3">
      <c r="C36" s="105" t="s">
        <v>88</v>
      </c>
      <c r="D36" s="116">
        <f>((D35-D32)-(D34-D33))*24</f>
        <v>8.0000000000000018</v>
      </c>
    </row>
    <row r="37" spans="3:4" ht="15.75" thickTop="1" x14ac:dyDescent="0.25"/>
    <row r="45" spans="3:4" x14ac:dyDescent="0.25">
      <c r="C45" s="32" t="s">
        <v>91</v>
      </c>
      <c r="D45" s="32"/>
    </row>
    <row r="46" spans="3:4" x14ac:dyDescent="0.25">
      <c r="C46" s="121" t="s">
        <v>92</v>
      </c>
      <c r="D46" s="122">
        <v>43005</v>
      </c>
    </row>
    <row r="47" spans="3:4" x14ac:dyDescent="0.25">
      <c r="C47" s="121" t="s">
        <v>93</v>
      </c>
      <c r="D47" s="123">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heetViews>
  <sheetFormatPr defaultRowHeight="15" x14ac:dyDescent="0.25"/>
  <cols>
    <col min="1" max="1" width="12.7109375" style="29" customWidth="1"/>
    <col min="2" max="2" width="82.85546875" customWidth="1"/>
    <col min="3" max="3" width="16.28515625" customWidth="1"/>
    <col min="4" max="4" width="15" customWidth="1"/>
    <col min="5" max="5" width="21" bestFit="1" customWidth="1"/>
    <col min="6" max="6" width="18.28515625" customWidth="1"/>
  </cols>
  <sheetData>
    <row r="1" spans="1:6" ht="60" customHeight="1" x14ac:dyDescent="0.25">
      <c r="A1" s="29" t="s">
        <v>186</v>
      </c>
      <c r="C1" s="76"/>
      <c r="D1" s="89"/>
      <c r="E1" s="89"/>
      <c r="F1" s="89"/>
    </row>
    <row r="2" spans="1:6" x14ac:dyDescent="0.25">
      <c r="A2" s="29" t="s">
        <v>187</v>
      </c>
      <c r="C2" s="7" t="s">
        <v>94</v>
      </c>
      <c r="D2" s="7" t="s">
        <v>95</v>
      </c>
      <c r="E2" s="7" t="s">
        <v>96</v>
      </c>
      <c r="F2" s="7" t="s">
        <v>113</v>
      </c>
    </row>
    <row r="3" spans="1:6" x14ac:dyDescent="0.25">
      <c r="A3" s="29" t="s">
        <v>188</v>
      </c>
      <c r="C3" s="105" t="s">
        <v>97</v>
      </c>
      <c r="D3" s="105" t="s">
        <v>98</v>
      </c>
      <c r="E3" s="117" t="str">
        <f>D3&amp;", "&amp;C3</f>
        <v>Smith, Nancy</v>
      </c>
      <c r="F3" s="59" t="str">
        <f>C3&amp;" "&amp;D3</f>
        <v>Nancy Smith</v>
      </c>
    </row>
    <row r="4" spans="1:6" x14ac:dyDescent="0.25">
      <c r="A4" s="29" t="s">
        <v>189</v>
      </c>
      <c r="C4" s="105" t="s">
        <v>99</v>
      </c>
      <c r="D4" s="105" t="s">
        <v>100</v>
      </c>
      <c r="E4" s="117"/>
      <c r="F4" s="59"/>
    </row>
    <row r="5" spans="1:6" x14ac:dyDescent="0.25">
      <c r="A5" s="29" t="s">
        <v>190</v>
      </c>
      <c r="C5" s="105" t="s">
        <v>101</v>
      </c>
      <c r="D5" s="105" t="s">
        <v>102</v>
      </c>
      <c r="E5" s="117"/>
      <c r="F5" s="59"/>
    </row>
    <row r="6" spans="1:6" x14ac:dyDescent="0.25">
      <c r="A6" s="29" t="s">
        <v>129</v>
      </c>
      <c r="C6" s="105" t="s">
        <v>103</v>
      </c>
      <c r="D6" s="105" t="s">
        <v>104</v>
      </c>
      <c r="E6" s="117"/>
      <c r="F6" s="59"/>
    </row>
    <row r="7" spans="1:6" x14ac:dyDescent="0.25">
      <c r="A7" s="29" t="s">
        <v>140</v>
      </c>
      <c r="C7" s="105" t="s">
        <v>105</v>
      </c>
      <c r="D7" s="105" t="s">
        <v>106</v>
      </c>
      <c r="E7" s="117"/>
      <c r="F7" s="59"/>
    </row>
    <row r="8" spans="1:6" x14ac:dyDescent="0.25">
      <c r="A8" s="29" t="s">
        <v>56</v>
      </c>
      <c r="C8" s="105" t="s">
        <v>107</v>
      </c>
      <c r="D8" s="105" t="s">
        <v>108</v>
      </c>
      <c r="E8" s="117"/>
      <c r="F8" s="59"/>
    </row>
    <row r="9" spans="1:6" x14ac:dyDescent="0.25">
      <c r="A9" s="29" t="s">
        <v>191</v>
      </c>
      <c r="C9" s="105" t="s">
        <v>109</v>
      </c>
      <c r="D9" s="105" t="s">
        <v>110</v>
      </c>
      <c r="E9" s="117"/>
      <c r="F9" s="59"/>
    </row>
    <row r="10" spans="1:6" x14ac:dyDescent="0.25">
      <c r="A10" s="29" t="s">
        <v>192</v>
      </c>
      <c r="C10" s="105" t="s">
        <v>111</v>
      </c>
      <c r="D10" s="105" t="s">
        <v>112</v>
      </c>
      <c r="E10" s="117"/>
      <c r="F10" s="59"/>
    </row>
    <row r="11" spans="1:6" x14ac:dyDescent="0.25">
      <c r="A11" s="29" t="s">
        <v>193</v>
      </c>
    </row>
    <row r="12" spans="1:6" x14ac:dyDescent="0.25">
      <c r="A12" s="29" t="s">
        <v>194</v>
      </c>
    </row>
    <row r="13" spans="1:6" x14ac:dyDescent="0.25">
      <c r="A13" s="29" t="s">
        <v>310</v>
      </c>
    </row>
    <row r="14" spans="1:6" x14ac:dyDescent="0.25">
      <c r="A14" s="29" t="s">
        <v>30</v>
      </c>
    </row>
    <row r="15" spans="1:6" x14ac:dyDescent="0.25">
      <c r="A15" s="29" t="s">
        <v>195</v>
      </c>
    </row>
    <row r="16" spans="1:6" x14ac:dyDescent="0.25">
      <c r="A16" s="29" t="s">
        <v>196</v>
      </c>
    </row>
    <row r="17" spans="1:4" x14ac:dyDescent="0.25">
      <c r="A17" s="29" t="s">
        <v>33</v>
      </c>
    </row>
    <row r="21" spans="1:4" x14ac:dyDescent="0.25">
      <c r="D21" s="12"/>
    </row>
    <row r="27" spans="1:4" x14ac:dyDescent="0.25">
      <c r="C27" s="32" t="s">
        <v>57</v>
      </c>
      <c r="D27" s="32"/>
    </row>
    <row r="28" spans="1:4" x14ac:dyDescent="0.25">
      <c r="C28" s="105" t="s">
        <v>54</v>
      </c>
      <c r="D28" s="115">
        <f ca="1">TODAY()</f>
        <v>46039</v>
      </c>
    </row>
    <row r="29" spans="1:4" x14ac:dyDescent="0.25">
      <c r="C29" s="105" t="s">
        <v>55</v>
      </c>
      <c r="D29" s="124">
        <f ca="1">NOW()</f>
        <v>46039.494469097219</v>
      </c>
    </row>
    <row r="31" spans="1:4" x14ac:dyDescent="0.25">
      <c r="C31" s="32" t="s">
        <v>58</v>
      </c>
      <c r="D31" s="32"/>
    </row>
    <row r="32" spans="1:4" x14ac:dyDescent="0.25">
      <c r="C32" s="105" t="str">
        <f ca="1">C28&amp;" "&amp;D28</f>
        <v>Today's date: 46039</v>
      </c>
      <c r="D32" s="105"/>
    </row>
    <row r="33" spans="3:4" x14ac:dyDescent="0.25">
      <c r="C33" s="105" t="str">
        <f ca="1">C29&amp;" "&amp;D29</f>
        <v>Current time: 46039.4944690972</v>
      </c>
      <c r="D33" s="105"/>
    </row>
    <row r="35" spans="3:4" x14ac:dyDescent="0.25">
      <c r="C35" s="32" t="s">
        <v>59</v>
      </c>
      <c r="D35" s="32"/>
    </row>
    <row r="36" spans="3:4" x14ac:dyDescent="0.25">
      <c r="C36" s="59" t="str">
        <f ca="1">C28 &amp;" "&amp; TEXT(D28,"MM/DD/YYYY")</f>
        <v>Today's date: 01/17/2026</v>
      </c>
      <c r="D36" s="59"/>
    </row>
    <row r="37" spans="3:4" x14ac:dyDescent="0.25">
      <c r="C37" s="59" t="str">
        <f ca="1">C29&amp;" "&amp;TEXT(D29,"HH:MM AM/PM")</f>
        <v>Current time: 11:52 AM</v>
      </c>
      <c r="D37" s="59"/>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heetViews>
  <sheetFormatPr defaultRowHeight="15" x14ac:dyDescent="0.25"/>
  <cols>
    <col min="1" max="1" width="12.7109375" customWidth="1"/>
    <col min="2" max="2" width="82.85546875" customWidth="1"/>
    <col min="3" max="3" width="17.140625" customWidth="1"/>
    <col min="4" max="4" width="26.140625" bestFit="1" customWidth="1"/>
  </cols>
  <sheetData>
    <row r="1" spans="1:6" ht="60" customHeight="1" x14ac:dyDescent="0.25">
      <c r="A1" s="29" t="s">
        <v>60</v>
      </c>
      <c r="D1" s="89"/>
    </row>
    <row r="2" spans="1:6" x14ac:dyDescent="0.25">
      <c r="A2" s="29" t="s">
        <v>197</v>
      </c>
      <c r="E2" s="36"/>
      <c r="F2" s="36"/>
    </row>
    <row r="3" spans="1:6" ht="15" customHeight="1" x14ac:dyDescent="0.25">
      <c r="A3" s="31" t="s">
        <v>269</v>
      </c>
      <c r="E3" s="36"/>
      <c r="F3" s="36"/>
    </row>
    <row r="4" spans="1:6" ht="15" customHeight="1" x14ac:dyDescent="0.25">
      <c r="A4" s="31" t="s">
        <v>270</v>
      </c>
      <c r="E4" s="36"/>
      <c r="F4" s="36"/>
    </row>
    <row r="5" spans="1:6" ht="15" customHeight="1" x14ac:dyDescent="0.25">
      <c r="A5" s="31" t="s">
        <v>307</v>
      </c>
      <c r="C5" s="99"/>
      <c r="E5" s="36"/>
      <c r="F5" s="36"/>
    </row>
    <row r="6" spans="1:6" x14ac:dyDescent="0.25">
      <c r="A6" s="29" t="s">
        <v>198</v>
      </c>
      <c r="E6" s="36"/>
      <c r="F6" s="36"/>
    </row>
    <row r="7" spans="1:6" x14ac:dyDescent="0.25">
      <c r="A7" s="29" t="s">
        <v>129</v>
      </c>
      <c r="C7" s="36"/>
      <c r="D7" s="36"/>
      <c r="E7" s="36"/>
      <c r="F7" s="36"/>
    </row>
    <row r="8" spans="1:6" x14ac:dyDescent="0.25">
      <c r="A8" s="29" t="s">
        <v>140</v>
      </c>
      <c r="C8" s="35" t="s">
        <v>60</v>
      </c>
      <c r="D8" s="35"/>
    </row>
    <row r="9" spans="1:6" x14ac:dyDescent="0.25">
      <c r="A9" s="29" t="s">
        <v>199</v>
      </c>
      <c r="C9" s="125" t="s">
        <v>114</v>
      </c>
      <c r="D9" s="51"/>
    </row>
    <row r="10" spans="1:6" x14ac:dyDescent="0.25">
      <c r="A10" s="29" t="s">
        <v>200</v>
      </c>
      <c r="C10" s="125" t="s">
        <v>115</v>
      </c>
      <c r="D10" s="51"/>
    </row>
    <row r="11" spans="1:6" ht="15" customHeight="1" thickBot="1" x14ac:dyDescent="0.3">
      <c r="A11" s="31" t="s">
        <v>271</v>
      </c>
      <c r="C11" s="36"/>
      <c r="D11" s="36"/>
    </row>
    <row r="12" spans="1:6" ht="15" customHeight="1" thickTop="1" thickBot="1" x14ac:dyDescent="0.3">
      <c r="A12" s="31" t="s">
        <v>272</v>
      </c>
      <c r="C12" s="57">
        <v>50</v>
      </c>
      <c r="D12" s="51" t="str">
        <f>IF(C12&lt;100,"Less than 100","Greater than or equal to 100")</f>
        <v>Less than 100</v>
      </c>
    </row>
    <row r="13" spans="1:6" ht="15" customHeight="1" thickTop="1" x14ac:dyDescent="0.25">
      <c r="A13" s="31" t="s">
        <v>273</v>
      </c>
    </row>
    <row r="14" spans="1:6" x14ac:dyDescent="0.25">
      <c r="A14" s="29" t="s">
        <v>201</v>
      </c>
    </row>
    <row r="15" spans="1:6" ht="15" customHeight="1" x14ac:dyDescent="0.25">
      <c r="A15" s="31" t="s">
        <v>274</v>
      </c>
    </row>
    <row r="16" spans="1:6" x14ac:dyDescent="0.25">
      <c r="A16" s="29" t="s">
        <v>139</v>
      </c>
    </row>
    <row r="17" spans="1:6" x14ac:dyDescent="0.25">
      <c r="A17" s="29" t="s">
        <v>140</v>
      </c>
    </row>
    <row r="18" spans="1:6" x14ac:dyDescent="0.25">
      <c r="A18" s="29" t="s">
        <v>30</v>
      </c>
      <c r="C18" s="12"/>
    </row>
    <row r="19" spans="1:6" x14ac:dyDescent="0.25">
      <c r="A19" s="29" t="s">
        <v>202</v>
      </c>
    </row>
    <row r="20" spans="1:6" x14ac:dyDescent="0.25">
      <c r="A20" s="29" t="s">
        <v>203</v>
      </c>
    </row>
    <row r="21" spans="1:6" x14ac:dyDescent="0.25">
      <c r="A21" s="29" t="s">
        <v>204</v>
      </c>
    </row>
    <row r="22" spans="1:6" x14ac:dyDescent="0.25">
      <c r="A22" s="29" t="s">
        <v>33</v>
      </c>
    </row>
    <row r="26" spans="1:6" ht="15.75" thickBot="1" x14ac:dyDescent="0.3"/>
    <row r="27" spans="1:6" ht="15.75" thickBot="1" x14ac:dyDescent="0.3">
      <c r="C27" s="67" t="s">
        <v>12</v>
      </c>
      <c r="D27" s="68" t="s">
        <v>62</v>
      </c>
      <c r="E27" s="68" t="s">
        <v>63</v>
      </c>
      <c r="F27" s="68" t="s">
        <v>64</v>
      </c>
    </row>
    <row r="28" spans="1:6" x14ac:dyDescent="0.25">
      <c r="C28" s="69" t="s">
        <v>65</v>
      </c>
      <c r="D28" s="69">
        <v>2</v>
      </c>
      <c r="E28" s="70">
        <v>9.7607115856835538</v>
      </c>
      <c r="F28" s="70">
        <f>'IF statements'!$E$28:$E$29*'IF statements'!$D$28:$D$29</f>
        <v>19.521423171367108</v>
      </c>
    </row>
    <row r="29" spans="1:6" ht="15.75" thickBot="1" x14ac:dyDescent="0.3">
      <c r="C29" s="60" t="s">
        <v>66</v>
      </c>
      <c r="D29" s="60">
        <v>3</v>
      </c>
      <c r="E29" s="61">
        <v>3.4189202461080024</v>
      </c>
      <c r="F29" s="61">
        <f>'IF statements'!$E$28:$E$29*'IF statements'!$D$28:$D$29</f>
        <v>10.256760738324008</v>
      </c>
    </row>
    <row r="30" spans="1:6" x14ac:dyDescent="0.25">
      <c r="C30" s="36"/>
      <c r="D30" s="36"/>
      <c r="E30" s="36"/>
      <c r="F30" s="36"/>
    </row>
    <row r="31" spans="1:6" x14ac:dyDescent="0.25">
      <c r="C31" s="36"/>
      <c r="D31" s="36" t="s">
        <v>67</v>
      </c>
      <c r="E31" s="37">
        <f>SUM('IF statements'!$E$28:$E$29)</f>
        <v>13.179631831791557</v>
      </c>
      <c r="F31" s="37">
        <f>SUM('IF statements'!F28:F29)</f>
        <v>29.778183909691116</v>
      </c>
    </row>
    <row r="32" spans="1:6" ht="15.75" thickBot="1" x14ac:dyDescent="0.3">
      <c r="C32" s="36"/>
      <c r="D32" s="36"/>
      <c r="E32" s="36"/>
      <c r="F32" s="36"/>
    </row>
    <row r="33" spans="3:6" ht="16.5" thickTop="1" thickBot="1" x14ac:dyDescent="0.3">
      <c r="C33" s="36"/>
      <c r="D33" s="36" t="s">
        <v>68</v>
      </c>
      <c r="E33" s="57" t="s">
        <v>61</v>
      </c>
      <c r="F33" s="38">
        <f>IF(E33="Yes",F31*SalesTax,0)</f>
        <v>2.456700172549517</v>
      </c>
    </row>
    <row r="34" spans="3:6" ht="16.5" thickTop="1" thickBot="1" x14ac:dyDescent="0.3">
      <c r="C34" s="36"/>
      <c r="D34" s="36"/>
      <c r="E34" s="36"/>
      <c r="F34" s="36"/>
    </row>
    <row r="35" spans="3:6" ht="16.5" thickTop="1" thickBot="1" x14ac:dyDescent="0.3">
      <c r="C35" s="36"/>
      <c r="D35" s="36" t="s">
        <v>116</v>
      </c>
      <c r="E35" s="57" t="s">
        <v>61</v>
      </c>
      <c r="F35" s="38">
        <f>IF(E35="Yes",SUM(D28:D29)*1.25,0)</f>
        <v>6.25</v>
      </c>
    </row>
    <row r="36" spans="3:6" ht="15.75" thickTop="1" x14ac:dyDescent="0.25"/>
    <row r="37" spans="3:6" x14ac:dyDescent="0.25">
      <c r="D37" s="36" t="s">
        <v>64</v>
      </c>
      <c r="E37" s="36"/>
      <c r="F37" s="37">
        <f>SUM(F33,F31,F35)</f>
        <v>38.484884082240633</v>
      </c>
    </row>
  </sheetData>
  <dataValidations disablePrompts="1"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heetViews>
  <sheetFormatPr defaultColWidth="8.85546875" defaultRowHeight="15" customHeight="1" x14ac:dyDescent="0.25"/>
  <cols>
    <col min="1" max="1" width="12.7109375" style="9"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7" ht="60" customHeight="1" x14ac:dyDescent="0.25">
      <c r="A1" s="9" t="s">
        <v>69</v>
      </c>
      <c r="B1" s="41"/>
      <c r="D1" s="88"/>
      <c r="E1" s="88"/>
      <c r="F1" s="88"/>
      <c r="G1" s="88"/>
    </row>
    <row r="2" spans="1:7" ht="15" customHeight="1" x14ac:dyDescent="0.25">
      <c r="A2" s="9" t="s">
        <v>205</v>
      </c>
      <c r="B2" s="41"/>
    </row>
    <row r="3" spans="1:7" ht="15" customHeight="1" x14ac:dyDescent="0.25">
      <c r="A3" s="9" t="s">
        <v>206</v>
      </c>
      <c r="B3" s="41"/>
    </row>
    <row r="4" spans="1:7" ht="15" customHeight="1" x14ac:dyDescent="0.25">
      <c r="A4" s="9" t="s">
        <v>207</v>
      </c>
      <c r="B4" s="41"/>
    </row>
    <row r="5" spans="1:7" s="4" customFormat="1" ht="15" customHeight="1" x14ac:dyDescent="0.25">
      <c r="A5" s="26" t="s">
        <v>208</v>
      </c>
      <c r="B5" s="42"/>
    </row>
    <row r="6" spans="1:7" s="4" customFormat="1" ht="15" customHeight="1" x14ac:dyDescent="0.25">
      <c r="A6" s="26" t="s">
        <v>209</v>
      </c>
      <c r="B6" s="42"/>
    </row>
    <row r="7" spans="1:7" s="4" customFormat="1" ht="15" customHeight="1" x14ac:dyDescent="0.25">
      <c r="A7" s="26" t="s">
        <v>210</v>
      </c>
      <c r="B7" s="42"/>
    </row>
    <row r="8" spans="1:7" s="4" customFormat="1" ht="15" customHeight="1" x14ac:dyDescent="0.25">
      <c r="A8" s="95" t="s">
        <v>275</v>
      </c>
      <c r="B8" s="42"/>
    </row>
    <row r="9" spans="1:7" s="4" customFormat="1" ht="15" customHeight="1" x14ac:dyDescent="0.25">
      <c r="A9" s="95" t="s">
        <v>276</v>
      </c>
      <c r="B9" s="42"/>
    </row>
    <row r="10" spans="1:7" s="4" customFormat="1" ht="15" customHeight="1" x14ac:dyDescent="0.25">
      <c r="A10" s="26" t="s">
        <v>211</v>
      </c>
      <c r="B10" s="42"/>
    </row>
    <row r="11" spans="1:7" s="4" customFormat="1" ht="15" customHeight="1" x14ac:dyDescent="0.25">
      <c r="A11" s="26" t="s">
        <v>129</v>
      </c>
      <c r="B11" s="42"/>
    </row>
    <row r="12" spans="1:7" s="4" customFormat="1" ht="15" customHeight="1" x14ac:dyDescent="0.25">
      <c r="A12" s="26" t="s">
        <v>140</v>
      </c>
      <c r="B12" s="42"/>
    </row>
    <row r="13" spans="1:7" s="4" customFormat="1" ht="15" customHeight="1" x14ac:dyDescent="0.25">
      <c r="A13" s="26" t="s">
        <v>212</v>
      </c>
      <c r="B13" s="42"/>
      <c r="C13" s="99"/>
      <c r="D13" s="102"/>
      <c r="E13" s="102"/>
      <c r="F13" s="102"/>
      <c r="G13" s="102"/>
    </row>
    <row r="14" spans="1:7" s="4" customFormat="1" ht="15" customHeight="1" x14ac:dyDescent="0.25">
      <c r="A14" s="26" t="s">
        <v>213</v>
      </c>
      <c r="B14" s="42"/>
      <c r="C14" s="102"/>
      <c r="D14" s="102"/>
      <c r="E14" s="102"/>
      <c r="F14" s="102"/>
      <c r="G14" s="102"/>
    </row>
    <row r="15" spans="1:7" s="4" customFormat="1" ht="15" customHeight="1" x14ac:dyDescent="0.25">
      <c r="A15" s="95" t="s">
        <v>277</v>
      </c>
      <c r="B15" s="42"/>
    </row>
    <row r="16" spans="1:7" s="4" customFormat="1" ht="15" customHeight="1" x14ac:dyDescent="0.25">
      <c r="A16" s="31" t="s">
        <v>278</v>
      </c>
      <c r="B16" s="42"/>
      <c r="C16" s="39" t="s">
        <v>1</v>
      </c>
      <c r="D16" s="34" t="s">
        <v>2</v>
      </c>
      <c r="E16" s="25"/>
      <c r="F16" s="33" t="s">
        <v>3</v>
      </c>
      <c r="G16" s="34" t="s">
        <v>2</v>
      </c>
    </row>
    <row r="17" spans="1:12" s="4" customFormat="1" ht="15" customHeight="1" x14ac:dyDescent="0.25">
      <c r="A17" s="26" t="s">
        <v>214</v>
      </c>
      <c r="C17" s="112" t="s">
        <v>4</v>
      </c>
      <c r="D17" s="113">
        <v>50</v>
      </c>
      <c r="E17" s="43"/>
      <c r="F17" s="114" t="s">
        <v>5</v>
      </c>
      <c r="G17" s="113">
        <v>50</v>
      </c>
      <c r="H17" s="42"/>
      <c r="I17" s="42"/>
      <c r="J17" s="42"/>
      <c r="K17" s="42"/>
      <c r="L17" s="42"/>
    </row>
    <row r="18" spans="1:12" s="4" customFormat="1" ht="15" customHeight="1" x14ac:dyDescent="0.25">
      <c r="A18" s="26" t="s">
        <v>139</v>
      </c>
      <c r="C18" s="112" t="s">
        <v>6</v>
      </c>
      <c r="D18" s="113">
        <v>20</v>
      </c>
      <c r="E18" s="43"/>
      <c r="F18" s="114" t="s">
        <v>7</v>
      </c>
      <c r="G18" s="113">
        <v>30</v>
      </c>
      <c r="H18" s="42"/>
      <c r="I18" s="42"/>
      <c r="J18" s="42"/>
      <c r="K18" s="42"/>
      <c r="L18" s="42"/>
    </row>
    <row r="19" spans="1:12" s="4" customFormat="1" ht="15" customHeight="1" x14ac:dyDescent="0.25">
      <c r="A19" s="26" t="s">
        <v>140</v>
      </c>
      <c r="C19" s="112" t="s">
        <v>8</v>
      </c>
      <c r="D19" s="113">
        <v>60</v>
      </c>
      <c r="E19" s="43"/>
      <c r="F19" s="114" t="s">
        <v>9</v>
      </c>
      <c r="G19" s="113">
        <v>10</v>
      </c>
      <c r="H19" s="42"/>
      <c r="I19" s="42"/>
      <c r="J19" s="42"/>
      <c r="K19" s="42"/>
      <c r="L19" s="42"/>
    </row>
    <row r="20" spans="1:12" s="4" customFormat="1" ht="15" customHeight="1" x14ac:dyDescent="0.25">
      <c r="A20" s="26" t="s">
        <v>30</v>
      </c>
      <c r="C20" s="112" t="s">
        <v>10</v>
      </c>
      <c r="D20" s="113">
        <v>40</v>
      </c>
      <c r="E20" s="43"/>
      <c r="F20" s="114" t="s">
        <v>11</v>
      </c>
      <c r="G20" s="113">
        <v>50</v>
      </c>
      <c r="H20" s="42"/>
      <c r="I20" s="42"/>
      <c r="J20" s="42"/>
      <c r="K20" s="42"/>
      <c r="L20" s="42"/>
    </row>
    <row r="21" spans="1:12" s="4" customFormat="1" ht="15" customHeight="1" thickBot="1" x14ac:dyDescent="0.3">
      <c r="A21" s="26" t="s">
        <v>70</v>
      </c>
      <c r="C21" s="42"/>
      <c r="D21" s="42"/>
      <c r="E21" s="42"/>
      <c r="F21" s="42"/>
      <c r="G21" s="42"/>
      <c r="H21" s="42"/>
      <c r="I21" s="42"/>
      <c r="J21" s="42"/>
      <c r="K21" s="42"/>
      <c r="L21" s="42"/>
    </row>
    <row r="22" spans="1:12" s="4" customFormat="1" ht="15" customHeight="1" thickTop="1" thickBot="1" x14ac:dyDescent="0.3">
      <c r="A22" s="26" t="s">
        <v>71</v>
      </c>
      <c r="C22" s="58" t="s">
        <v>4</v>
      </c>
      <c r="D22" s="46"/>
      <c r="E22" s="43"/>
      <c r="F22" s="58" t="s">
        <v>9</v>
      </c>
      <c r="G22" s="46"/>
      <c r="H22" s="42"/>
      <c r="I22" s="42"/>
      <c r="J22" s="42"/>
      <c r="K22" s="42"/>
      <c r="L22" s="42"/>
    </row>
    <row r="23" spans="1:12" s="4" customFormat="1" ht="15" customHeight="1" thickTop="1" x14ac:dyDescent="0.25">
      <c r="A23" s="26" t="s">
        <v>72</v>
      </c>
      <c r="C23" s="42"/>
      <c r="D23" s="43"/>
      <c r="E23" s="43"/>
      <c r="F23" s="42"/>
      <c r="G23" s="43"/>
      <c r="H23" s="42"/>
      <c r="I23" s="42"/>
      <c r="J23" s="42"/>
      <c r="K23" s="42"/>
      <c r="L23" s="42"/>
    </row>
    <row r="24" spans="1:12" s="4" customFormat="1" ht="15" customHeight="1" x14ac:dyDescent="0.25">
      <c r="A24" s="26" t="s">
        <v>73</v>
      </c>
      <c r="H24" s="42"/>
      <c r="I24" s="42"/>
      <c r="J24" s="42"/>
      <c r="K24" s="42"/>
      <c r="L24" s="42"/>
    </row>
    <row r="25" spans="1:12" s="4" customFormat="1" ht="15" customHeight="1" x14ac:dyDescent="0.25">
      <c r="A25" s="26" t="s">
        <v>33</v>
      </c>
      <c r="H25" s="42"/>
      <c r="I25" s="42"/>
      <c r="J25" s="42"/>
      <c r="K25" s="42"/>
      <c r="L25" s="42"/>
    </row>
    <row r="26" spans="1:12" ht="15" customHeight="1" x14ac:dyDescent="0.25">
      <c r="C26" s="4"/>
      <c r="E26" s="4"/>
      <c r="F26" s="4"/>
      <c r="G26" s="4"/>
      <c r="H26" s="41"/>
      <c r="I26" s="42"/>
      <c r="J26" s="42"/>
      <c r="K26" s="42"/>
      <c r="L26" s="42"/>
    </row>
    <row r="27" spans="1:12" ht="15" customHeight="1" x14ac:dyDescent="0.25">
      <c r="C27" s="4"/>
      <c r="E27" s="4"/>
      <c r="F27" s="4"/>
      <c r="G27" s="4"/>
      <c r="H27" s="41"/>
      <c r="I27" s="41"/>
      <c r="J27" s="41"/>
      <c r="K27" s="41"/>
      <c r="L27" s="41"/>
    </row>
    <row r="28" spans="1:12" ht="15" customHeight="1" x14ac:dyDescent="0.25">
      <c r="C28" s="4"/>
      <c r="E28" s="4"/>
      <c r="F28" s="4"/>
      <c r="G28" s="4"/>
      <c r="H28" s="41"/>
      <c r="I28" s="41"/>
      <c r="J28" s="41"/>
      <c r="K28" s="41"/>
      <c r="L28" s="41"/>
    </row>
    <row r="29" spans="1:12" ht="15" customHeight="1" x14ac:dyDescent="0.25">
      <c r="H29" s="41"/>
      <c r="I29" s="41"/>
      <c r="J29" s="41"/>
      <c r="K29" s="41"/>
      <c r="L29" s="41"/>
    </row>
    <row r="30" spans="1:12" ht="15" customHeight="1" x14ac:dyDescent="0.25">
      <c r="H30" s="41"/>
      <c r="I30" s="41"/>
      <c r="J30" s="41"/>
      <c r="K30" s="41"/>
      <c r="L30" s="41"/>
    </row>
    <row r="31" spans="1:12" ht="15" customHeight="1" x14ac:dyDescent="0.25">
      <c r="H31" s="41"/>
      <c r="I31" s="41"/>
      <c r="J31" s="41"/>
      <c r="K31" s="41"/>
      <c r="L31" s="41"/>
    </row>
    <row r="32" spans="1:12" ht="15" customHeight="1" x14ac:dyDescent="0.25">
      <c r="H32" s="41"/>
      <c r="I32" s="41"/>
      <c r="J32" s="41"/>
      <c r="K32" s="41"/>
      <c r="L32" s="41"/>
    </row>
    <row r="33" spans="2:7" ht="15" customHeight="1" x14ac:dyDescent="0.25">
      <c r="B33" s="41"/>
      <c r="C33" s="100"/>
      <c r="D33" s="101"/>
      <c r="E33" s="101"/>
      <c r="F33" s="101"/>
      <c r="G33" s="101"/>
    </row>
    <row r="34" spans="2:7" ht="15" customHeight="1" x14ac:dyDescent="0.25">
      <c r="B34" s="41"/>
      <c r="C34" s="101"/>
      <c r="D34" s="101"/>
      <c r="E34" s="101"/>
      <c r="F34" s="101"/>
      <c r="G34" s="101"/>
    </row>
    <row r="35" spans="2:7" ht="15" customHeight="1" x14ac:dyDescent="0.25">
      <c r="B35" s="41"/>
      <c r="C35" s="90" t="s">
        <v>22</v>
      </c>
      <c r="D35" s="88"/>
      <c r="E35" s="88"/>
      <c r="F35" s="88"/>
      <c r="G35" s="88"/>
    </row>
    <row r="36" spans="2:7" ht="15" customHeight="1" x14ac:dyDescent="0.25">
      <c r="B36" s="41"/>
      <c r="C36" s="39" t="s">
        <v>12</v>
      </c>
      <c r="D36" s="34" t="s">
        <v>2</v>
      </c>
      <c r="E36" s="25"/>
      <c r="F36" s="33" t="s">
        <v>12</v>
      </c>
      <c r="G36" s="34" t="s">
        <v>2</v>
      </c>
    </row>
    <row r="37" spans="2:7" ht="15" customHeight="1" x14ac:dyDescent="0.25">
      <c r="B37" s="41"/>
      <c r="C37" s="112" t="s">
        <v>13</v>
      </c>
      <c r="D37" s="113">
        <v>50</v>
      </c>
      <c r="E37" s="43"/>
      <c r="F37" s="114" t="s">
        <v>13</v>
      </c>
      <c r="G37" s="113">
        <v>50</v>
      </c>
    </row>
    <row r="38" spans="2:7" ht="15" customHeight="1" x14ac:dyDescent="0.25">
      <c r="B38" s="41"/>
      <c r="C38" s="112" t="s">
        <v>14</v>
      </c>
      <c r="D38" s="113">
        <v>100</v>
      </c>
      <c r="E38" s="43"/>
      <c r="F38" s="114" t="s">
        <v>14</v>
      </c>
      <c r="G38" s="113">
        <v>100</v>
      </c>
    </row>
    <row r="39" spans="2:7" ht="15" customHeight="1" x14ac:dyDescent="0.25">
      <c r="B39" s="41"/>
      <c r="C39" s="112" t="s">
        <v>15</v>
      </c>
      <c r="D39" s="113">
        <v>40</v>
      </c>
      <c r="E39" s="43"/>
      <c r="F39" s="114" t="s">
        <v>15</v>
      </c>
      <c r="G39" s="113">
        <v>40</v>
      </c>
    </row>
    <row r="40" spans="2:7" ht="15" customHeight="1" x14ac:dyDescent="0.25">
      <c r="C40" s="112" t="s">
        <v>16</v>
      </c>
      <c r="D40" s="113">
        <v>50</v>
      </c>
      <c r="E40" s="43"/>
      <c r="F40" s="114" t="s">
        <v>16</v>
      </c>
      <c r="G40" s="113">
        <v>50</v>
      </c>
    </row>
    <row r="41" spans="2:7" ht="15" customHeight="1" x14ac:dyDescent="0.25">
      <c r="C41" s="112" t="s">
        <v>17</v>
      </c>
      <c r="D41" s="113">
        <v>20</v>
      </c>
      <c r="E41" s="43"/>
      <c r="F41" s="114" t="s">
        <v>17</v>
      </c>
      <c r="G41" s="113">
        <v>20</v>
      </c>
    </row>
    <row r="42" spans="2:7" ht="15" customHeight="1" thickBot="1" x14ac:dyDescent="0.3">
      <c r="C42" s="42"/>
      <c r="D42" s="42"/>
      <c r="E42" s="42"/>
      <c r="F42" s="42"/>
      <c r="G42" s="42"/>
    </row>
    <row r="43" spans="2:7" ht="15" customHeight="1" thickTop="1" thickBot="1" x14ac:dyDescent="0.3">
      <c r="B43" s="41"/>
      <c r="C43" s="58"/>
      <c r="D43" s="46" t="e">
        <f>VLOOKUP(C43,C37:D41,2,FALSE)</f>
        <v>#N/A</v>
      </c>
      <c r="E43" s="43"/>
      <c r="F43" s="92" t="s">
        <v>279</v>
      </c>
      <c r="G43" s="46" t="str">
        <f>IFERROR(VLOOKUP(F43,F37:G41,2,FALSE),"")</f>
        <v/>
      </c>
    </row>
    <row r="44" spans="2:7" ht="15" customHeight="1" thickTop="1" x14ac:dyDescent="0.25">
      <c r="B44" s="41"/>
      <c r="C44" s="41"/>
      <c r="D44" s="42"/>
      <c r="E44" s="41"/>
      <c r="F44" s="41"/>
      <c r="G44" s="41"/>
    </row>
    <row r="45" spans="2:7" ht="15" customHeight="1" x14ac:dyDescent="0.25">
      <c r="B45" s="41"/>
      <c r="C45" s="41"/>
      <c r="D45" s="42"/>
      <c r="E45" s="41"/>
      <c r="F45" s="41"/>
      <c r="G45" s="41"/>
    </row>
    <row r="46" spans="2:7" ht="15" customHeight="1" x14ac:dyDescent="0.25">
      <c r="B46" s="41"/>
      <c r="C46" s="41"/>
      <c r="D46" s="42"/>
      <c r="E46" s="41"/>
      <c r="F46" s="41"/>
      <c r="G46" s="41"/>
    </row>
    <row r="47" spans="2:7" ht="15" customHeight="1" x14ac:dyDescent="0.25">
      <c r="B47" s="41"/>
      <c r="C47" s="41"/>
      <c r="D47" s="42"/>
      <c r="E47" s="41"/>
      <c r="F47" s="41"/>
      <c r="G47" s="41"/>
    </row>
    <row r="48" spans="2:7" ht="15" customHeight="1" x14ac:dyDescent="0.25">
      <c r="B48" s="41"/>
      <c r="C48" s="41"/>
      <c r="D48" s="42"/>
      <c r="E48" s="41"/>
      <c r="F48" s="41"/>
      <c r="G48" s="41"/>
    </row>
  </sheetData>
  <dataValidations disablePrompts="1"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topLeftCell="A55" workbookViewId="0">
      <selection activeCell="A55" sqref="A55"/>
    </sheetView>
  </sheetViews>
  <sheetFormatPr defaultColWidth="8.85546875" defaultRowHeight="15" x14ac:dyDescent="0.25"/>
  <cols>
    <col min="1" max="1" width="12.7109375" style="9" customWidth="1"/>
    <col min="2" max="2" width="82.85546875" style="24" customWidth="1"/>
    <col min="3" max="4" width="12.7109375" style="20" customWidth="1"/>
    <col min="5" max="5" width="8.42578125" style="20" bestFit="1" customWidth="1"/>
    <col min="6" max="8" width="12.7109375" style="20" customWidth="1"/>
    <col min="9" max="25" width="8.85546875" style="20"/>
    <col min="26" max="26" width="8.85546875" style="20" hidden="1" customWidth="1"/>
    <col min="27" max="27" width="2.28515625" style="20" hidden="1" customWidth="1"/>
    <col min="28" max="28" width="11" style="20" hidden="1" customWidth="1"/>
    <col min="29" max="29" width="2.28515625" style="20" hidden="1" customWidth="1"/>
    <col min="30" max="30" width="11" style="20" hidden="1" customWidth="1"/>
    <col min="31" max="31" width="2.28515625" style="20" hidden="1" customWidth="1"/>
    <col min="32" max="32" width="11" style="20" hidden="1" customWidth="1"/>
    <col min="33" max="33" width="2.28515625" style="20" hidden="1" customWidth="1"/>
    <col min="34" max="34" width="11" style="20" hidden="1" customWidth="1"/>
    <col min="35" max="16384" width="8.85546875" style="20"/>
  </cols>
  <sheetData>
    <row r="1" spans="1:34" ht="60" customHeight="1" x14ac:dyDescent="0.25">
      <c r="A1" s="29" t="s">
        <v>215</v>
      </c>
      <c r="B1" s="9"/>
      <c r="C1" s="76"/>
      <c r="D1" s="88"/>
      <c r="E1" s="88"/>
      <c r="F1" s="88"/>
      <c r="G1" s="88"/>
      <c r="H1" s="88"/>
      <c r="I1" s="41"/>
      <c r="J1" s="41"/>
      <c r="K1" s="41"/>
      <c r="L1" s="41"/>
      <c r="M1" s="41"/>
      <c r="N1" s="41"/>
      <c r="O1" s="41"/>
      <c r="P1" s="41"/>
      <c r="Q1" s="41"/>
      <c r="R1" s="41"/>
      <c r="S1" s="41"/>
      <c r="T1" s="41"/>
      <c r="U1" s="41"/>
      <c r="V1" s="41"/>
      <c r="W1" s="41"/>
      <c r="X1" s="41"/>
      <c r="Y1" s="41"/>
      <c r="Z1" s="41"/>
      <c r="AA1" s="41"/>
      <c r="AB1" s="41"/>
      <c r="AC1" s="41"/>
      <c r="AD1" s="41"/>
      <c r="AE1" s="41"/>
      <c r="AF1" s="41"/>
      <c r="AG1" s="41"/>
      <c r="AH1" s="41"/>
    </row>
    <row r="2" spans="1:34" ht="15" customHeight="1" x14ac:dyDescent="0.25">
      <c r="A2" s="29" t="s">
        <v>216</v>
      </c>
      <c r="B2" s="9"/>
      <c r="C2" s="7" t="s">
        <v>1</v>
      </c>
      <c r="D2" s="8" t="s">
        <v>2</v>
      </c>
      <c r="E2" s="43"/>
      <c r="F2" s="7" t="s">
        <v>1</v>
      </c>
      <c r="G2" s="7" t="s">
        <v>43</v>
      </c>
      <c r="H2" s="8" t="s">
        <v>2</v>
      </c>
      <c r="I2" s="41"/>
      <c r="J2" s="41"/>
      <c r="K2" s="41"/>
      <c r="L2" s="41"/>
      <c r="M2" s="41"/>
      <c r="N2" s="41"/>
      <c r="O2" s="41"/>
      <c r="P2" s="41"/>
      <c r="Q2" s="41"/>
      <c r="R2" s="41"/>
      <c r="S2" s="41"/>
      <c r="T2" s="41"/>
      <c r="U2" s="41"/>
      <c r="V2" s="41"/>
      <c r="W2" s="41"/>
      <c r="X2" s="41"/>
      <c r="Y2" s="41"/>
      <c r="Z2" s="7" t="s">
        <v>1</v>
      </c>
      <c r="AA2" s="41"/>
      <c r="AB2" s="7" t="s">
        <v>4</v>
      </c>
      <c r="AC2" s="41"/>
      <c r="AD2" s="7" t="s">
        <v>6</v>
      </c>
      <c r="AE2" s="41"/>
      <c r="AF2" s="7" t="s">
        <v>8</v>
      </c>
      <c r="AG2" s="41"/>
      <c r="AH2" s="7" t="s">
        <v>10</v>
      </c>
    </row>
    <row r="3" spans="1:34" ht="15" customHeight="1" x14ac:dyDescent="0.25">
      <c r="A3" s="29" t="s">
        <v>217</v>
      </c>
      <c r="B3" s="9"/>
      <c r="C3" s="112" t="s">
        <v>4</v>
      </c>
      <c r="D3" s="113">
        <v>50</v>
      </c>
      <c r="E3" s="43"/>
      <c r="F3" s="112" t="s">
        <v>4</v>
      </c>
      <c r="G3" s="112" t="s">
        <v>44</v>
      </c>
      <c r="H3" s="113">
        <v>50</v>
      </c>
      <c r="I3" s="41"/>
      <c r="J3" s="41"/>
      <c r="K3" s="41"/>
      <c r="L3" s="41"/>
      <c r="M3" s="41"/>
      <c r="N3" s="41"/>
      <c r="O3" s="41"/>
      <c r="P3" s="41"/>
      <c r="Q3" s="41"/>
      <c r="R3" s="41"/>
      <c r="S3" s="41"/>
      <c r="T3" s="41"/>
      <c r="U3" s="41"/>
      <c r="V3" s="41"/>
      <c r="W3" s="41"/>
      <c r="X3" s="41"/>
      <c r="Y3" s="41"/>
      <c r="Z3" s="44" t="s">
        <v>4</v>
      </c>
      <c r="AA3" s="41"/>
      <c r="AB3" s="44" t="s">
        <v>44</v>
      </c>
      <c r="AC3" s="41"/>
      <c r="AD3" s="44" t="s">
        <v>45</v>
      </c>
      <c r="AE3" s="41"/>
      <c r="AF3" s="44" t="s">
        <v>46</v>
      </c>
      <c r="AG3" s="41"/>
      <c r="AH3" s="44" t="s">
        <v>47</v>
      </c>
    </row>
    <row r="4" spans="1:34" ht="15" customHeight="1" x14ac:dyDescent="0.25">
      <c r="A4" s="29" t="s">
        <v>218</v>
      </c>
      <c r="B4" s="9"/>
      <c r="C4" s="112" t="s">
        <v>6</v>
      </c>
      <c r="D4" s="113">
        <v>20</v>
      </c>
      <c r="E4" s="43"/>
      <c r="F4" s="112" t="s">
        <v>6</v>
      </c>
      <c r="G4" s="112" t="s">
        <v>45</v>
      </c>
      <c r="H4" s="113">
        <v>20</v>
      </c>
      <c r="I4" s="41"/>
      <c r="J4" s="5"/>
      <c r="K4" s="5"/>
      <c r="L4" s="5"/>
      <c r="M4" s="5"/>
      <c r="N4" s="5"/>
      <c r="O4" s="41"/>
      <c r="P4" s="41"/>
      <c r="Q4" s="41"/>
      <c r="R4" s="41"/>
      <c r="S4" s="41"/>
      <c r="T4" s="41"/>
      <c r="U4" s="41"/>
      <c r="V4" s="41"/>
      <c r="W4" s="41"/>
      <c r="X4" s="41"/>
      <c r="Y4" s="41"/>
      <c r="Z4" s="44" t="s">
        <v>6</v>
      </c>
      <c r="AA4" s="41"/>
      <c r="AB4" s="44" t="s">
        <v>48</v>
      </c>
      <c r="AC4" s="41"/>
      <c r="AD4" s="44" t="s">
        <v>49</v>
      </c>
      <c r="AE4" s="41"/>
      <c r="AF4" s="44" t="s">
        <v>50</v>
      </c>
      <c r="AG4" s="41"/>
      <c r="AH4" s="44" t="s">
        <v>51</v>
      </c>
    </row>
    <row r="5" spans="1:34" s="22" customFormat="1" ht="15" customHeight="1" x14ac:dyDescent="0.3">
      <c r="A5" s="29" t="s">
        <v>219</v>
      </c>
      <c r="B5" s="42"/>
      <c r="C5" s="112" t="s">
        <v>8</v>
      </c>
      <c r="D5" s="113">
        <v>60</v>
      </c>
      <c r="E5" s="43"/>
      <c r="F5" s="112" t="s">
        <v>8</v>
      </c>
      <c r="G5" s="112" t="s">
        <v>46</v>
      </c>
      <c r="H5" s="113">
        <v>60</v>
      </c>
      <c r="I5" s="41"/>
      <c r="J5" s="5"/>
      <c r="K5" s="21"/>
      <c r="L5" s="5"/>
      <c r="M5" s="5"/>
      <c r="N5" s="5"/>
      <c r="O5" s="41"/>
      <c r="P5" s="41"/>
      <c r="Q5" s="42"/>
      <c r="R5" s="42"/>
      <c r="S5" s="42"/>
      <c r="T5" s="42"/>
      <c r="U5" s="42"/>
      <c r="V5" s="42"/>
      <c r="W5" s="42"/>
      <c r="X5" s="42"/>
      <c r="Y5" s="42"/>
      <c r="Z5" s="44" t="s">
        <v>8</v>
      </c>
      <c r="AA5" s="42"/>
      <c r="AB5" s="42"/>
      <c r="AC5" s="42"/>
      <c r="AD5" s="42"/>
      <c r="AE5" s="42"/>
      <c r="AF5" s="42"/>
      <c r="AG5" s="42"/>
      <c r="AH5" s="42"/>
    </row>
    <row r="6" spans="1:34" s="22" customFormat="1" ht="15" customHeight="1" x14ac:dyDescent="0.25">
      <c r="A6" s="29" t="s">
        <v>220</v>
      </c>
      <c r="B6" s="42"/>
      <c r="C6" s="112" t="s">
        <v>10</v>
      </c>
      <c r="D6" s="113">
        <v>40</v>
      </c>
      <c r="E6" s="43"/>
      <c r="F6" s="112" t="s">
        <v>10</v>
      </c>
      <c r="G6" s="112" t="s">
        <v>47</v>
      </c>
      <c r="H6" s="113">
        <v>40</v>
      </c>
      <c r="I6" s="41"/>
      <c r="J6" s="41"/>
      <c r="K6" s="41"/>
      <c r="L6" s="41"/>
      <c r="M6" s="41"/>
      <c r="N6" s="5"/>
      <c r="O6" s="41"/>
      <c r="P6" s="41"/>
      <c r="Q6" s="42"/>
      <c r="R6" s="42"/>
      <c r="S6" s="42"/>
      <c r="T6" s="42"/>
      <c r="U6" s="42"/>
      <c r="V6" s="42"/>
      <c r="W6" s="42"/>
      <c r="X6" s="42"/>
      <c r="Y6" s="42"/>
      <c r="Z6" s="44" t="s">
        <v>10</v>
      </c>
      <c r="AA6" s="42"/>
      <c r="AB6" s="42"/>
      <c r="AC6" s="42"/>
      <c r="AD6" s="42"/>
      <c r="AE6" s="42"/>
      <c r="AF6" s="42"/>
      <c r="AG6" s="42"/>
      <c r="AH6" s="42"/>
    </row>
    <row r="7" spans="1:34" s="22" customFormat="1" ht="15" customHeight="1" x14ac:dyDescent="0.25">
      <c r="A7" s="29" t="s">
        <v>280</v>
      </c>
      <c r="B7" s="42"/>
      <c r="C7" s="112" t="s">
        <v>4</v>
      </c>
      <c r="D7" s="113">
        <v>50</v>
      </c>
      <c r="E7" s="43"/>
      <c r="F7" s="112" t="s">
        <v>4</v>
      </c>
      <c r="G7" s="112" t="s">
        <v>48</v>
      </c>
      <c r="H7" s="113">
        <v>50</v>
      </c>
      <c r="I7" s="42"/>
      <c r="J7" s="42"/>
      <c r="K7" s="42"/>
      <c r="L7" s="42"/>
      <c r="M7" s="42"/>
      <c r="N7" s="5"/>
      <c r="O7" s="42"/>
      <c r="P7" s="42"/>
      <c r="Q7" s="42"/>
      <c r="R7" s="42"/>
      <c r="S7" s="42"/>
      <c r="T7" s="42"/>
      <c r="U7" s="42"/>
      <c r="V7" s="42"/>
      <c r="W7" s="42"/>
      <c r="X7" s="42"/>
      <c r="Y7" s="42"/>
      <c r="Z7" s="42"/>
      <c r="AA7" s="42"/>
      <c r="AB7" s="42"/>
      <c r="AC7" s="42"/>
      <c r="AD7" s="42"/>
      <c r="AE7" s="42"/>
      <c r="AF7" s="42"/>
      <c r="AG7" s="42"/>
      <c r="AH7" s="42"/>
    </row>
    <row r="8" spans="1:34" s="22" customFormat="1" ht="15" customHeight="1" x14ac:dyDescent="0.25">
      <c r="A8" s="29" t="s">
        <v>221</v>
      </c>
      <c r="B8" s="42"/>
      <c r="C8" s="112" t="s">
        <v>6</v>
      </c>
      <c r="D8" s="113">
        <v>20</v>
      </c>
      <c r="E8" s="43"/>
      <c r="F8" s="112" t="s">
        <v>6</v>
      </c>
      <c r="G8" s="112" t="s">
        <v>49</v>
      </c>
      <c r="H8" s="113">
        <v>20</v>
      </c>
      <c r="I8" s="42"/>
      <c r="J8" s="42"/>
      <c r="K8" s="42"/>
      <c r="L8" s="42"/>
      <c r="M8" s="42"/>
      <c r="N8" s="5"/>
      <c r="O8" s="42"/>
      <c r="P8" s="42"/>
      <c r="Q8" s="42"/>
      <c r="R8" s="42"/>
      <c r="S8" s="42"/>
      <c r="T8" s="42"/>
      <c r="U8" s="42"/>
      <c r="V8" s="42"/>
      <c r="W8" s="42"/>
      <c r="X8" s="42"/>
      <c r="Y8" s="42"/>
      <c r="Z8" s="42"/>
      <c r="AA8" s="42"/>
      <c r="AB8" s="42"/>
      <c r="AC8" s="42"/>
      <c r="AD8" s="42"/>
      <c r="AE8" s="42"/>
      <c r="AF8" s="42"/>
      <c r="AG8" s="42"/>
      <c r="AH8" s="42"/>
    </row>
    <row r="9" spans="1:34" s="22" customFormat="1" ht="15" customHeight="1" x14ac:dyDescent="0.25">
      <c r="A9" s="29" t="s">
        <v>222</v>
      </c>
      <c r="B9" s="42"/>
      <c r="C9" s="112" t="s">
        <v>8</v>
      </c>
      <c r="D9" s="113">
        <v>60</v>
      </c>
      <c r="E9" s="43"/>
      <c r="F9" s="112" t="s">
        <v>8</v>
      </c>
      <c r="G9" s="112" t="s">
        <v>50</v>
      </c>
      <c r="H9" s="113">
        <v>60</v>
      </c>
      <c r="I9" s="42"/>
      <c r="J9" s="42"/>
      <c r="K9" s="42"/>
      <c r="L9" s="42"/>
      <c r="M9" s="42"/>
      <c r="N9" s="5"/>
      <c r="O9" s="42"/>
      <c r="P9" s="42"/>
      <c r="Q9" s="42"/>
      <c r="R9" s="42"/>
      <c r="S9" s="42"/>
      <c r="T9" s="42"/>
      <c r="U9" s="42"/>
      <c r="V9" s="42"/>
      <c r="W9" s="42"/>
      <c r="X9" s="42"/>
      <c r="Y9" s="42"/>
      <c r="Z9" s="42"/>
      <c r="AA9" s="42"/>
      <c r="AB9" s="42"/>
      <c r="AC9" s="42"/>
      <c r="AD9" s="42"/>
      <c r="AE9" s="42"/>
      <c r="AF9" s="42"/>
      <c r="AG9" s="42"/>
      <c r="AH9" s="42"/>
    </row>
    <row r="10" spans="1:34" s="22" customFormat="1" ht="15" customHeight="1" x14ac:dyDescent="0.25">
      <c r="A10" s="29" t="s">
        <v>223</v>
      </c>
      <c r="B10" s="42"/>
      <c r="C10" s="112" t="s">
        <v>10</v>
      </c>
      <c r="D10" s="113">
        <v>40</v>
      </c>
      <c r="E10" s="43"/>
      <c r="F10" s="112" t="s">
        <v>10</v>
      </c>
      <c r="G10" s="112" t="s">
        <v>51</v>
      </c>
      <c r="H10" s="113">
        <v>40</v>
      </c>
      <c r="I10" s="42"/>
      <c r="J10" s="5"/>
      <c r="K10" s="5"/>
      <c r="L10" s="5"/>
      <c r="M10" s="5"/>
      <c r="N10" s="5"/>
      <c r="O10" s="42"/>
      <c r="P10" s="42"/>
      <c r="Q10" s="42"/>
      <c r="R10" s="42"/>
      <c r="S10" s="42"/>
      <c r="T10" s="42"/>
      <c r="U10" s="42"/>
      <c r="V10" s="42"/>
      <c r="W10" s="42"/>
      <c r="X10" s="42"/>
      <c r="Y10" s="42"/>
      <c r="Z10" s="42"/>
      <c r="AA10" s="42"/>
      <c r="AB10" s="42"/>
      <c r="AC10" s="42"/>
      <c r="AD10" s="42"/>
      <c r="AE10" s="42"/>
      <c r="AF10" s="42"/>
      <c r="AG10" s="42"/>
      <c r="AH10" s="42"/>
    </row>
    <row r="11" spans="1:34" s="22" customFormat="1" ht="15" customHeight="1" x14ac:dyDescent="0.25">
      <c r="A11" s="29" t="s">
        <v>224</v>
      </c>
      <c r="B11" s="42"/>
      <c r="C11" s="112" t="s">
        <v>4</v>
      </c>
      <c r="D11" s="113">
        <v>50</v>
      </c>
      <c r="E11" s="43"/>
      <c r="F11" s="112" t="s">
        <v>4</v>
      </c>
      <c r="G11" s="112" t="s">
        <v>48</v>
      </c>
      <c r="H11" s="113">
        <v>50</v>
      </c>
      <c r="I11" s="42"/>
      <c r="J11" s="47"/>
      <c r="K11" s="10"/>
      <c r="L11" s="5"/>
      <c r="M11" s="5"/>
      <c r="N11" s="5"/>
      <c r="O11" s="42"/>
      <c r="P11" s="42"/>
      <c r="Q11" s="42"/>
      <c r="R11" s="42"/>
      <c r="S11" s="42"/>
      <c r="T11" s="42"/>
      <c r="U11" s="42"/>
      <c r="V11" s="42"/>
      <c r="W11" s="42"/>
      <c r="X11" s="42"/>
      <c r="Y11" s="42"/>
      <c r="Z11" s="42"/>
      <c r="AA11" s="42"/>
      <c r="AB11" s="42"/>
      <c r="AC11" s="42"/>
      <c r="AD11" s="42"/>
      <c r="AE11" s="42"/>
      <c r="AF11" s="42"/>
      <c r="AG11" s="42"/>
      <c r="AH11" s="42"/>
    </row>
    <row r="12" spans="1:34" s="22" customFormat="1" ht="15" customHeight="1" x14ac:dyDescent="0.25">
      <c r="A12" s="29" t="s">
        <v>225</v>
      </c>
      <c r="B12" s="42"/>
      <c r="C12" s="112" t="s">
        <v>6</v>
      </c>
      <c r="D12" s="113">
        <v>20</v>
      </c>
      <c r="E12" s="43"/>
      <c r="F12" s="112" t="s">
        <v>6</v>
      </c>
      <c r="G12" s="112" t="s">
        <v>49</v>
      </c>
      <c r="H12" s="113">
        <v>20</v>
      </c>
      <c r="I12" s="42"/>
      <c r="J12" s="47"/>
      <c r="K12" s="6"/>
      <c r="L12" s="5"/>
      <c r="M12" s="5"/>
      <c r="N12" s="5"/>
      <c r="O12" s="42"/>
      <c r="P12" s="42"/>
      <c r="Q12" s="42"/>
      <c r="R12" s="42"/>
      <c r="S12" s="42"/>
      <c r="T12" s="42"/>
      <c r="U12" s="42"/>
      <c r="V12" s="42"/>
      <c r="W12" s="42"/>
      <c r="X12" s="42"/>
      <c r="Y12" s="42"/>
      <c r="Z12" s="42"/>
      <c r="AA12" s="42"/>
      <c r="AB12" s="42"/>
      <c r="AC12" s="42"/>
      <c r="AD12" s="42"/>
      <c r="AE12" s="42"/>
      <c r="AF12" s="42"/>
      <c r="AG12" s="42"/>
      <c r="AH12" s="42"/>
    </row>
    <row r="13" spans="1:34" s="22" customFormat="1" ht="15" customHeight="1" x14ac:dyDescent="0.25">
      <c r="A13" s="31" t="s">
        <v>226</v>
      </c>
      <c r="B13" s="42"/>
      <c r="C13" s="112" t="s">
        <v>8</v>
      </c>
      <c r="D13" s="113">
        <v>60</v>
      </c>
      <c r="E13" s="43"/>
      <c r="F13" s="112" t="s">
        <v>8</v>
      </c>
      <c r="G13" s="112" t="s">
        <v>46</v>
      </c>
      <c r="H13" s="113">
        <v>60</v>
      </c>
      <c r="I13" s="42"/>
      <c r="J13" s="47"/>
      <c r="K13" s="6"/>
      <c r="L13" s="5"/>
      <c r="M13" s="5"/>
      <c r="N13" s="5"/>
      <c r="O13" s="42"/>
      <c r="P13" s="42"/>
      <c r="Q13" s="42"/>
      <c r="R13" s="42"/>
      <c r="S13" s="42"/>
      <c r="T13" s="42"/>
      <c r="U13" s="42"/>
      <c r="V13" s="42"/>
      <c r="W13" s="42"/>
      <c r="X13" s="42"/>
      <c r="Y13" s="42"/>
      <c r="Z13" s="42"/>
      <c r="AA13" s="42"/>
      <c r="AB13" s="42"/>
      <c r="AC13" s="42"/>
      <c r="AD13" s="42"/>
      <c r="AE13" s="42"/>
      <c r="AF13" s="42"/>
      <c r="AG13" s="42"/>
      <c r="AH13" s="42"/>
    </row>
    <row r="14" spans="1:34" s="22" customFormat="1" ht="15" customHeight="1" x14ac:dyDescent="0.25">
      <c r="A14" s="30" t="s">
        <v>227</v>
      </c>
      <c r="B14" s="42"/>
      <c r="C14" s="112" t="s">
        <v>10</v>
      </c>
      <c r="D14" s="113">
        <v>40</v>
      </c>
      <c r="E14" s="43"/>
      <c r="F14" s="112" t="s">
        <v>10</v>
      </c>
      <c r="G14" s="112" t="s">
        <v>51</v>
      </c>
      <c r="H14" s="113">
        <v>40</v>
      </c>
      <c r="I14" s="42"/>
      <c r="J14" s="47"/>
      <c r="K14" s="48"/>
      <c r="L14" s="5"/>
      <c r="M14" s="5"/>
      <c r="N14" s="5"/>
      <c r="O14" s="42"/>
      <c r="P14" s="42"/>
      <c r="Q14" s="42"/>
      <c r="R14" s="42"/>
      <c r="S14" s="42"/>
      <c r="T14" s="42"/>
      <c r="U14" s="42"/>
      <c r="V14" s="42"/>
      <c r="W14" s="42"/>
      <c r="X14" s="42"/>
      <c r="Y14" s="42"/>
      <c r="Z14" s="42"/>
      <c r="AA14" s="42"/>
      <c r="AB14" s="42"/>
      <c r="AC14" s="42"/>
      <c r="AD14" s="42"/>
      <c r="AE14" s="42"/>
      <c r="AF14" s="42"/>
      <c r="AG14" s="42"/>
      <c r="AH14" s="42"/>
    </row>
    <row r="15" spans="1:34" s="22" customFormat="1" ht="15" customHeight="1" x14ac:dyDescent="0.25">
      <c r="A15" s="31" t="s">
        <v>291</v>
      </c>
      <c r="B15" s="42"/>
      <c r="C15" s="23"/>
      <c r="D15" s="23"/>
      <c r="E15" s="23"/>
      <c r="F15" s="23"/>
      <c r="G15" s="23"/>
      <c r="H15" s="23"/>
      <c r="I15" s="42"/>
      <c r="J15" s="47"/>
      <c r="K15" s="49"/>
      <c r="L15" s="5"/>
      <c r="M15" s="5"/>
      <c r="N15" s="5"/>
      <c r="O15" s="42"/>
      <c r="P15" s="42"/>
      <c r="Q15" s="42"/>
      <c r="R15" s="42"/>
      <c r="S15" s="42"/>
      <c r="T15" s="42"/>
      <c r="U15" s="42"/>
      <c r="V15" s="42"/>
      <c r="W15" s="42"/>
      <c r="X15" s="42"/>
      <c r="Y15" s="42"/>
      <c r="Z15" s="42"/>
      <c r="AA15" s="42"/>
      <c r="AB15" s="42"/>
      <c r="AC15" s="42"/>
      <c r="AD15" s="42"/>
      <c r="AE15" s="42"/>
      <c r="AF15" s="42"/>
      <c r="AG15" s="42"/>
      <c r="AH15" s="42"/>
    </row>
    <row r="16" spans="1:34" s="22" customFormat="1" ht="15" customHeight="1" thickBot="1" x14ac:dyDescent="0.3">
      <c r="A16" s="29" t="s">
        <v>129</v>
      </c>
      <c r="B16" s="42"/>
      <c r="C16" s="42" t="s">
        <v>1</v>
      </c>
      <c r="D16" s="25" t="s">
        <v>52</v>
      </c>
      <c r="E16" s="43"/>
      <c r="F16" s="42" t="s">
        <v>1</v>
      </c>
      <c r="G16" s="42" t="s">
        <v>43</v>
      </c>
      <c r="H16" s="25" t="s">
        <v>53</v>
      </c>
      <c r="I16" s="42"/>
      <c r="J16" s="47"/>
      <c r="K16" s="10"/>
      <c r="L16" s="5"/>
      <c r="M16" s="5"/>
      <c r="N16" s="5"/>
      <c r="O16" s="42"/>
      <c r="P16" s="42"/>
      <c r="Q16" s="42"/>
      <c r="R16" s="42"/>
      <c r="S16" s="42"/>
      <c r="T16" s="42"/>
      <c r="U16" s="42"/>
      <c r="V16" s="42"/>
      <c r="W16" s="42"/>
      <c r="X16" s="42"/>
      <c r="Y16" s="42"/>
      <c r="Z16" s="42"/>
      <c r="AA16" s="42"/>
      <c r="AB16" s="42"/>
      <c r="AC16" s="42"/>
      <c r="AD16" s="42"/>
      <c r="AE16" s="42"/>
      <c r="AF16" s="42"/>
      <c r="AG16" s="42"/>
      <c r="AH16" s="42"/>
    </row>
    <row r="17" spans="1:34" s="22" customFormat="1" ht="15" customHeight="1" thickTop="1" thickBot="1" x14ac:dyDescent="0.3">
      <c r="A17" s="29" t="s">
        <v>130</v>
      </c>
      <c r="B17" s="42"/>
      <c r="C17" s="50" t="s">
        <v>4</v>
      </c>
      <c r="D17" s="51"/>
      <c r="E17" s="43"/>
      <c r="F17" s="50" t="s">
        <v>6</v>
      </c>
      <c r="G17" s="50" t="s">
        <v>45</v>
      </c>
      <c r="H17" s="46"/>
      <c r="I17" s="42"/>
      <c r="J17" s="52"/>
      <c r="K17" s="6"/>
      <c r="L17" s="5"/>
      <c r="M17" s="5"/>
      <c r="N17" s="5"/>
      <c r="O17" s="42"/>
      <c r="P17" s="42"/>
      <c r="Q17" s="42"/>
      <c r="R17" s="42"/>
      <c r="S17" s="42"/>
      <c r="T17" s="42"/>
      <c r="U17" s="42"/>
      <c r="V17" s="42"/>
      <c r="W17" s="42"/>
      <c r="X17" s="42"/>
      <c r="Y17" s="42"/>
      <c r="Z17" s="42"/>
      <c r="AA17" s="42"/>
      <c r="AB17" s="42"/>
      <c r="AC17" s="42"/>
      <c r="AD17" s="42"/>
      <c r="AE17" s="42"/>
      <c r="AF17" s="42"/>
      <c r="AG17" s="42"/>
      <c r="AH17" s="42"/>
    </row>
    <row r="18" spans="1:34" s="22" customFormat="1" ht="15" customHeight="1" thickTop="1" x14ac:dyDescent="0.25">
      <c r="A18" s="29" t="s">
        <v>228</v>
      </c>
      <c r="B18" s="42"/>
      <c r="C18" s="42"/>
      <c r="D18" s="42"/>
      <c r="E18" s="43"/>
      <c r="F18" s="42"/>
      <c r="G18" s="42"/>
      <c r="H18" s="42"/>
      <c r="I18" s="42"/>
      <c r="J18" s="47"/>
      <c r="K18" s="48"/>
      <c r="L18" s="5"/>
      <c r="M18" s="5"/>
      <c r="N18" s="5"/>
      <c r="O18" s="42"/>
      <c r="P18" s="42"/>
      <c r="Q18" s="42"/>
      <c r="R18" s="42"/>
      <c r="S18" s="42"/>
      <c r="T18" s="42"/>
      <c r="U18" s="42"/>
      <c r="V18" s="42"/>
      <c r="W18" s="42"/>
      <c r="X18" s="42"/>
      <c r="Y18" s="42"/>
      <c r="Z18" s="42"/>
      <c r="AA18" s="42"/>
      <c r="AB18" s="42"/>
      <c r="AC18" s="42"/>
      <c r="AD18" s="42"/>
      <c r="AE18" s="42"/>
      <c r="AF18" s="42"/>
      <c r="AG18" s="42"/>
      <c r="AH18" s="42"/>
    </row>
    <row r="19" spans="1:34" s="22" customFormat="1" ht="15" customHeight="1" x14ac:dyDescent="0.25">
      <c r="A19" s="29" t="s">
        <v>229</v>
      </c>
      <c r="B19" s="42"/>
      <c r="C19" s="1"/>
      <c r="D19" s="1"/>
      <c r="E19" s="1"/>
      <c r="F19" s="1"/>
      <c r="G19" s="1"/>
      <c r="H19" s="1"/>
      <c r="I19" s="42"/>
      <c r="J19" s="47"/>
      <c r="K19" s="49"/>
      <c r="L19" s="5"/>
      <c r="M19" s="5"/>
      <c r="N19" s="42"/>
      <c r="O19" s="42"/>
      <c r="P19" s="42"/>
      <c r="Q19" s="42"/>
      <c r="R19" s="42"/>
      <c r="S19" s="42"/>
      <c r="T19" s="42"/>
      <c r="U19" s="42"/>
      <c r="V19" s="42"/>
      <c r="W19" s="42"/>
      <c r="X19" s="42"/>
      <c r="Y19" s="42"/>
      <c r="Z19" s="42"/>
      <c r="AA19" s="42"/>
      <c r="AB19" s="42"/>
      <c r="AC19" s="42"/>
      <c r="AD19" s="42"/>
      <c r="AE19" s="42"/>
      <c r="AF19" s="42"/>
      <c r="AG19" s="42"/>
      <c r="AH19" s="42"/>
    </row>
    <row r="20" spans="1:34" s="22" customFormat="1" ht="15" customHeight="1" x14ac:dyDescent="0.25">
      <c r="A20" s="29" t="s">
        <v>302</v>
      </c>
      <c r="B20" s="42"/>
      <c r="C20" s="1"/>
      <c r="D20" s="1"/>
      <c r="E20" s="1"/>
      <c r="F20" s="1"/>
      <c r="G20" s="1"/>
      <c r="H20" s="1"/>
      <c r="I20" s="42"/>
      <c r="J20" s="52"/>
      <c r="K20" s="10"/>
      <c r="L20" s="42"/>
      <c r="M20" s="5"/>
      <c r="N20" s="42"/>
      <c r="O20" s="42"/>
      <c r="P20" s="42"/>
      <c r="Q20" s="42"/>
      <c r="R20" s="42"/>
      <c r="S20" s="42"/>
      <c r="T20" s="42"/>
      <c r="U20" s="42"/>
      <c r="V20" s="42"/>
      <c r="W20" s="42"/>
      <c r="X20" s="42"/>
      <c r="Y20" s="42"/>
      <c r="Z20" s="42"/>
      <c r="AA20" s="42"/>
      <c r="AB20" s="42"/>
      <c r="AC20" s="42"/>
      <c r="AD20" s="42"/>
      <c r="AE20" s="42"/>
      <c r="AF20" s="42"/>
      <c r="AG20" s="42"/>
      <c r="AH20" s="42"/>
    </row>
    <row r="21" spans="1:34" s="22" customFormat="1" ht="15" customHeight="1" x14ac:dyDescent="0.25">
      <c r="A21" s="29" t="s">
        <v>230</v>
      </c>
      <c r="B21" s="42"/>
      <c r="C21" s="1"/>
      <c r="D21" s="1"/>
      <c r="E21" s="1"/>
      <c r="F21" s="1"/>
      <c r="G21" s="1"/>
      <c r="H21" s="1"/>
      <c r="I21" s="42"/>
      <c r="J21" s="52"/>
      <c r="K21" s="6"/>
      <c r="L21" s="42"/>
      <c r="M21" s="5"/>
      <c r="N21" s="42"/>
      <c r="O21" s="42"/>
      <c r="P21" s="42"/>
      <c r="Q21" s="42"/>
      <c r="R21" s="42"/>
      <c r="S21" s="42"/>
      <c r="T21" s="42"/>
      <c r="U21" s="42"/>
      <c r="V21" s="42"/>
      <c r="W21" s="42"/>
      <c r="X21" s="42"/>
      <c r="Y21" s="42"/>
      <c r="Z21" s="42"/>
      <c r="AA21" s="42"/>
      <c r="AB21" s="42"/>
      <c r="AC21" s="42"/>
      <c r="AD21" s="42"/>
      <c r="AE21" s="42"/>
      <c r="AF21" s="42"/>
      <c r="AG21" s="42"/>
      <c r="AH21" s="42"/>
    </row>
    <row r="22" spans="1:34" s="22" customFormat="1" ht="15" customHeight="1" x14ac:dyDescent="0.25">
      <c r="A22" s="29" t="s">
        <v>219</v>
      </c>
      <c r="B22" s="42"/>
      <c r="C22" s="1"/>
      <c r="D22" s="1"/>
      <c r="E22" s="1"/>
      <c r="F22" s="1"/>
      <c r="G22" s="1"/>
      <c r="H22" s="1"/>
      <c r="I22" s="42"/>
      <c r="J22" s="41"/>
      <c r="K22" s="6"/>
      <c r="L22" s="53"/>
      <c r="M22" s="5"/>
      <c r="N22" s="42"/>
      <c r="O22" s="42"/>
      <c r="P22" s="42"/>
      <c r="Q22" s="42"/>
      <c r="R22" s="42"/>
      <c r="S22" s="42"/>
      <c r="T22" s="42"/>
      <c r="U22" s="42"/>
      <c r="V22" s="42"/>
      <c r="W22" s="42"/>
      <c r="X22" s="42"/>
      <c r="Y22" s="42"/>
      <c r="Z22" s="42"/>
      <c r="AA22" s="42"/>
      <c r="AB22" s="42"/>
      <c r="AC22" s="42"/>
      <c r="AD22" s="42"/>
      <c r="AE22" s="42"/>
      <c r="AF22" s="42"/>
      <c r="AG22" s="42"/>
      <c r="AH22" s="42"/>
    </row>
    <row r="23" spans="1:34" s="22" customFormat="1" ht="15" customHeight="1" x14ac:dyDescent="0.25">
      <c r="A23" s="29" t="s">
        <v>220</v>
      </c>
      <c r="B23" s="42"/>
      <c r="C23" s="1"/>
      <c r="D23" s="1"/>
      <c r="E23" s="1"/>
      <c r="F23" s="1"/>
      <c r="G23" s="1"/>
      <c r="H23" s="1"/>
      <c r="I23" s="42"/>
      <c r="J23" s="41"/>
      <c r="K23" s="54"/>
      <c r="L23" s="53"/>
      <c r="M23" s="5"/>
      <c r="N23" s="42"/>
      <c r="O23" s="42"/>
      <c r="P23" s="42"/>
      <c r="Q23" s="42"/>
      <c r="R23" s="42"/>
      <c r="S23" s="42"/>
      <c r="T23" s="42"/>
      <c r="U23" s="42"/>
      <c r="V23" s="42"/>
      <c r="W23" s="42"/>
      <c r="X23" s="42"/>
      <c r="Y23" s="42"/>
      <c r="Z23" s="42"/>
      <c r="AA23" s="42"/>
      <c r="AB23" s="42"/>
      <c r="AC23" s="42"/>
      <c r="AD23" s="42"/>
      <c r="AE23" s="42"/>
      <c r="AF23" s="42"/>
      <c r="AG23" s="42"/>
      <c r="AH23" s="42"/>
    </row>
    <row r="24" spans="1:34" s="22" customFormat="1" ht="15" customHeight="1" x14ac:dyDescent="0.25">
      <c r="A24" s="31" t="s">
        <v>301</v>
      </c>
      <c r="B24" s="42"/>
      <c r="C24" s="1"/>
      <c r="D24" s="1"/>
      <c r="E24" s="1"/>
      <c r="F24" s="1"/>
      <c r="G24" s="1"/>
      <c r="H24" s="1"/>
      <c r="I24" s="42"/>
      <c r="J24" s="41"/>
      <c r="K24" s="42"/>
      <c r="L24" s="53"/>
      <c r="M24" s="5"/>
      <c r="N24" s="42"/>
      <c r="O24" s="42"/>
      <c r="P24" s="42"/>
      <c r="Q24" s="42"/>
      <c r="R24" s="42"/>
      <c r="S24" s="42"/>
      <c r="T24" s="42"/>
      <c r="U24" s="42"/>
      <c r="V24" s="42"/>
      <c r="W24" s="42"/>
      <c r="X24" s="42"/>
      <c r="Y24" s="42"/>
      <c r="Z24" s="42"/>
      <c r="AA24" s="42"/>
      <c r="AB24" s="42"/>
      <c r="AC24" s="42"/>
      <c r="AD24" s="42"/>
      <c r="AE24" s="42"/>
      <c r="AF24" s="42"/>
      <c r="AG24" s="42"/>
      <c r="AH24" s="41"/>
    </row>
    <row r="25" spans="1:34" s="22" customFormat="1" ht="15" customHeight="1" x14ac:dyDescent="0.25">
      <c r="A25" s="29" t="s">
        <v>231</v>
      </c>
      <c r="B25" s="42"/>
      <c r="C25" s="1"/>
      <c r="D25" s="1"/>
      <c r="E25" s="1"/>
      <c r="F25" s="1"/>
      <c r="G25" s="1"/>
      <c r="H25" s="1"/>
      <c r="I25" s="42"/>
      <c r="J25" s="41"/>
      <c r="K25" s="42"/>
      <c r="L25" s="53"/>
      <c r="M25" s="5"/>
      <c r="N25" s="42"/>
      <c r="O25" s="42"/>
      <c r="P25" s="42"/>
      <c r="Q25" s="42"/>
      <c r="R25" s="42"/>
      <c r="S25" s="42"/>
      <c r="T25" s="42"/>
      <c r="U25" s="42"/>
      <c r="V25" s="42"/>
      <c r="W25" s="42"/>
      <c r="X25" s="42"/>
      <c r="Y25" s="42"/>
      <c r="Z25" s="42"/>
      <c r="AA25" s="42"/>
      <c r="AB25" s="42"/>
      <c r="AC25" s="42"/>
      <c r="AD25" s="42"/>
      <c r="AE25" s="42"/>
      <c r="AF25" s="42"/>
      <c r="AG25" s="42"/>
      <c r="AH25" s="41"/>
    </row>
    <row r="26" spans="1:34" s="22" customFormat="1" ht="15" customHeight="1" x14ac:dyDescent="0.25">
      <c r="A26" s="29" t="s">
        <v>232</v>
      </c>
      <c r="B26" s="42"/>
      <c r="C26" s="1"/>
      <c r="D26" s="1"/>
      <c r="E26" s="1"/>
      <c r="F26" s="1"/>
      <c r="G26" s="1"/>
      <c r="H26" s="1"/>
      <c r="I26" s="42"/>
      <c r="J26" s="41"/>
      <c r="K26" s="42"/>
      <c r="L26" s="53"/>
      <c r="M26" s="5"/>
      <c r="N26" s="42"/>
      <c r="O26" s="42"/>
      <c r="P26" s="42"/>
      <c r="Q26" s="42"/>
      <c r="R26" s="42"/>
      <c r="S26" s="42"/>
      <c r="T26" s="42"/>
      <c r="U26" s="42"/>
      <c r="V26" s="42"/>
      <c r="W26" s="42"/>
      <c r="X26" s="42"/>
      <c r="Y26" s="42"/>
      <c r="Z26" s="42"/>
      <c r="AA26" s="42"/>
      <c r="AB26" s="42"/>
      <c r="AC26" s="42"/>
      <c r="AD26" s="42"/>
      <c r="AE26" s="42"/>
      <c r="AF26" s="42"/>
      <c r="AG26" s="42"/>
      <c r="AH26" s="41"/>
    </row>
    <row r="27" spans="1:34" s="22" customFormat="1" ht="15" customHeight="1" x14ac:dyDescent="0.25">
      <c r="A27" s="29" t="s">
        <v>225</v>
      </c>
      <c r="B27" s="42"/>
      <c r="C27" s="1"/>
      <c r="D27" s="1"/>
      <c r="E27" s="1"/>
      <c r="F27" s="1"/>
      <c r="G27" s="1"/>
      <c r="H27" s="1"/>
      <c r="I27" s="42"/>
      <c r="J27" s="41"/>
      <c r="K27" s="42"/>
      <c r="L27" s="53"/>
      <c r="M27" s="5"/>
      <c r="N27" s="42"/>
      <c r="O27" s="42"/>
      <c r="P27" s="42"/>
      <c r="Q27" s="42"/>
      <c r="R27" s="42"/>
      <c r="S27" s="42"/>
      <c r="T27" s="42"/>
      <c r="U27" s="42"/>
      <c r="V27" s="42"/>
      <c r="W27" s="42"/>
      <c r="X27" s="42"/>
      <c r="Y27" s="42"/>
      <c r="Z27" s="42"/>
      <c r="AA27" s="42"/>
      <c r="AB27" s="42"/>
      <c r="AC27" s="42"/>
      <c r="AD27" s="42"/>
      <c r="AE27" s="42"/>
      <c r="AF27" s="42"/>
      <c r="AG27" s="42"/>
      <c r="AH27" s="41"/>
    </row>
    <row r="28" spans="1:34" s="22" customFormat="1" ht="15" customHeight="1" x14ac:dyDescent="0.25">
      <c r="A28" s="29" t="s">
        <v>233</v>
      </c>
      <c r="B28" s="42"/>
      <c r="C28" s="1"/>
      <c r="D28" s="1"/>
      <c r="E28" s="1"/>
      <c r="F28" s="1"/>
      <c r="G28" s="1"/>
      <c r="H28" s="1"/>
      <c r="I28" s="42"/>
      <c r="J28" s="41"/>
      <c r="K28" s="42"/>
      <c r="L28" s="53"/>
      <c r="M28" s="42"/>
      <c r="N28" s="42"/>
      <c r="O28" s="42"/>
      <c r="P28" s="42"/>
      <c r="Q28" s="42"/>
      <c r="R28" s="42"/>
      <c r="S28" s="42"/>
      <c r="T28" s="42"/>
      <c r="U28" s="42"/>
      <c r="V28" s="42"/>
      <c r="W28" s="42"/>
      <c r="X28" s="42"/>
      <c r="Y28" s="42"/>
      <c r="Z28" s="42"/>
      <c r="AA28" s="42"/>
      <c r="AB28" s="42"/>
      <c r="AC28" s="42"/>
      <c r="AD28" s="42"/>
      <c r="AE28" s="42"/>
      <c r="AF28" s="42"/>
      <c r="AG28" s="42"/>
      <c r="AH28" s="41"/>
    </row>
    <row r="29" spans="1:34" s="22" customFormat="1" ht="15" customHeight="1" x14ac:dyDescent="0.25">
      <c r="A29" s="29" t="s">
        <v>234</v>
      </c>
      <c r="B29" s="42"/>
      <c r="C29" s="1"/>
      <c r="D29" s="1"/>
      <c r="E29" s="1"/>
      <c r="F29" s="1"/>
      <c r="G29" s="1"/>
      <c r="H29" s="1"/>
      <c r="I29" s="42"/>
      <c r="J29" s="41"/>
      <c r="K29" s="42"/>
      <c r="L29" s="53"/>
      <c r="M29" s="42"/>
      <c r="N29" s="42"/>
      <c r="O29" s="42"/>
      <c r="P29" s="42"/>
      <c r="Q29" s="42"/>
      <c r="R29" s="42"/>
      <c r="S29" s="42"/>
      <c r="T29" s="42"/>
      <c r="U29" s="42"/>
      <c r="V29" s="42"/>
      <c r="W29" s="42"/>
      <c r="X29" s="42"/>
      <c r="Y29" s="42"/>
      <c r="Z29" s="42"/>
      <c r="AA29" s="42"/>
      <c r="AB29" s="42"/>
      <c r="AC29" s="42"/>
      <c r="AD29" s="42"/>
      <c r="AE29" s="42"/>
      <c r="AF29" s="42"/>
      <c r="AG29" s="42"/>
      <c r="AH29" s="41"/>
    </row>
    <row r="30" spans="1:34" s="22" customFormat="1" ht="15" customHeight="1" x14ac:dyDescent="0.25">
      <c r="A30" s="29" t="s">
        <v>129</v>
      </c>
      <c r="B30" s="42"/>
      <c r="C30" s="1"/>
      <c r="D30" s="1"/>
      <c r="E30" s="1"/>
      <c r="F30" s="1"/>
      <c r="G30" s="1"/>
      <c r="H30" s="1"/>
      <c r="I30" s="42"/>
      <c r="J30" s="42"/>
      <c r="K30" s="42"/>
      <c r="L30" s="42"/>
      <c r="M30" s="42"/>
      <c r="N30" s="42"/>
      <c r="O30" s="42"/>
      <c r="P30" s="42"/>
      <c r="Q30" s="42"/>
      <c r="R30" s="42"/>
      <c r="S30" s="42"/>
      <c r="T30" s="42"/>
      <c r="U30" s="42"/>
      <c r="V30" s="42"/>
      <c r="W30" s="42"/>
      <c r="X30" s="42"/>
      <c r="Y30" s="42"/>
      <c r="Z30" s="42"/>
      <c r="AA30" s="42"/>
      <c r="AB30" s="41"/>
      <c r="AC30" s="42"/>
      <c r="AD30" s="41"/>
      <c r="AE30" s="42"/>
      <c r="AF30" s="42"/>
      <c r="AG30" s="42"/>
      <c r="AH30" s="41"/>
    </row>
    <row r="31" spans="1:34" s="22" customFormat="1" ht="15" customHeight="1" x14ac:dyDescent="0.25">
      <c r="A31" s="29" t="s">
        <v>140</v>
      </c>
      <c r="B31" s="42"/>
      <c r="C31" s="1"/>
      <c r="D31" s="1"/>
      <c r="E31" s="1"/>
      <c r="F31" s="1"/>
      <c r="G31" s="1"/>
      <c r="H31" s="1"/>
      <c r="I31" s="42"/>
      <c r="J31" s="42"/>
      <c r="K31" s="42"/>
      <c r="L31" s="42"/>
      <c r="M31" s="42"/>
      <c r="N31" s="5"/>
      <c r="O31" s="42"/>
      <c r="P31" s="42"/>
      <c r="Q31" s="42"/>
      <c r="R31" s="42"/>
      <c r="S31" s="42"/>
      <c r="T31" s="42"/>
      <c r="U31" s="42"/>
      <c r="V31" s="42"/>
      <c r="W31" s="42"/>
      <c r="X31" s="42"/>
      <c r="Y31" s="42"/>
      <c r="Z31" s="42"/>
      <c r="AA31" s="42"/>
      <c r="AB31" s="41"/>
      <c r="AC31" s="42"/>
      <c r="AD31" s="41"/>
      <c r="AE31" s="42"/>
      <c r="AF31" s="42"/>
      <c r="AG31" s="42"/>
      <c r="AH31" s="41"/>
    </row>
    <row r="32" spans="1:34" s="22" customFormat="1" ht="15" customHeight="1" x14ac:dyDescent="0.25">
      <c r="A32" s="26" t="s">
        <v>235</v>
      </c>
      <c r="B32" s="42"/>
      <c r="C32" s="1"/>
      <c r="D32" s="1"/>
      <c r="E32" s="1"/>
      <c r="F32" s="1"/>
      <c r="G32" s="1"/>
      <c r="H32" s="1"/>
      <c r="I32" s="42"/>
      <c r="J32" s="42"/>
      <c r="K32" s="42"/>
      <c r="L32" s="42"/>
      <c r="M32" s="42"/>
      <c r="N32" s="5"/>
      <c r="O32" s="42"/>
      <c r="P32" s="42"/>
      <c r="Q32" s="42"/>
      <c r="R32" s="42"/>
      <c r="S32" s="42"/>
      <c r="T32" s="42"/>
      <c r="U32" s="42"/>
      <c r="V32" s="42"/>
      <c r="W32" s="42"/>
      <c r="X32" s="42"/>
      <c r="Y32" s="42"/>
      <c r="Z32" s="42"/>
      <c r="AA32" s="42"/>
      <c r="AB32" s="41"/>
      <c r="AC32" s="42"/>
      <c r="AD32" s="41"/>
      <c r="AE32" s="42"/>
      <c r="AF32" s="42"/>
      <c r="AG32" s="42"/>
      <c r="AH32" s="41"/>
    </row>
    <row r="33" spans="1:34" s="22" customFormat="1" ht="15" customHeight="1" x14ac:dyDescent="0.25">
      <c r="A33" s="95" t="s">
        <v>303</v>
      </c>
      <c r="B33" s="42"/>
      <c r="C33" s="1"/>
      <c r="D33" s="1"/>
      <c r="E33" s="1"/>
      <c r="F33" s="1"/>
      <c r="G33" s="1"/>
      <c r="H33" s="1"/>
      <c r="I33" s="42"/>
      <c r="J33" s="42"/>
      <c r="K33" s="42"/>
      <c r="L33" s="42"/>
      <c r="M33" s="42"/>
      <c r="N33" s="42"/>
      <c r="O33" s="42"/>
      <c r="P33" s="42"/>
      <c r="Q33" s="42"/>
      <c r="R33" s="42"/>
      <c r="S33" s="42"/>
      <c r="T33" s="42"/>
      <c r="U33" s="42"/>
      <c r="V33" s="42"/>
      <c r="W33" s="42"/>
      <c r="X33" s="42"/>
      <c r="Y33" s="42"/>
      <c r="Z33" s="42"/>
      <c r="AA33" s="42"/>
      <c r="AB33" s="41"/>
      <c r="AC33" s="42"/>
      <c r="AD33" s="41"/>
      <c r="AE33" s="42"/>
      <c r="AF33" s="42"/>
      <c r="AG33" s="42"/>
      <c r="AH33" s="41"/>
    </row>
    <row r="34" spans="1:34" s="22" customFormat="1" ht="15" customHeight="1" x14ac:dyDescent="0.25">
      <c r="A34" s="26" t="s">
        <v>129</v>
      </c>
      <c r="B34" s="42"/>
      <c r="C34" s="1"/>
      <c r="D34" s="1"/>
      <c r="E34" s="1"/>
      <c r="F34" s="1"/>
      <c r="G34" s="1"/>
      <c r="H34" s="1"/>
      <c r="I34" s="42"/>
      <c r="J34" s="42"/>
      <c r="K34" s="42"/>
      <c r="L34" s="42"/>
      <c r="M34" s="42"/>
      <c r="N34" s="42"/>
      <c r="O34" s="42"/>
      <c r="P34" s="42"/>
      <c r="Q34" s="42"/>
      <c r="R34" s="42"/>
      <c r="S34" s="42"/>
      <c r="T34" s="42"/>
      <c r="U34" s="42"/>
      <c r="V34" s="42"/>
      <c r="W34" s="42"/>
      <c r="X34" s="42"/>
      <c r="Y34" s="42"/>
      <c r="Z34" s="42"/>
      <c r="AA34" s="42"/>
      <c r="AB34" s="41"/>
      <c r="AC34" s="42"/>
      <c r="AD34" s="41"/>
      <c r="AE34" s="42"/>
      <c r="AF34" s="42"/>
      <c r="AG34" s="42"/>
      <c r="AH34" s="41"/>
    </row>
    <row r="35" spans="1:34" s="22" customFormat="1" ht="15" customHeight="1" x14ac:dyDescent="0.25">
      <c r="A35" s="26" t="s">
        <v>140</v>
      </c>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1"/>
      <c r="AC35" s="42"/>
      <c r="AD35" s="41"/>
      <c r="AE35" s="42"/>
      <c r="AF35" s="42"/>
      <c r="AG35" s="42"/>
      <c r="AH35" s="41"/>
    </row>
    <row r="36" spans="1:34" x14ac:dyDescent="0.25">
      <c r="A36" s="9" t="s">
        <v>236</v>
      </c>
      <c r="B36" s="9"/>
      <c r="C36" s="42"/>
      <c r="D36" s="42"/>
      <c r="E36" s="42"/>
      <c r="F36" s="42"/>
      <c r="G36" s="42"/>
      <c r="H36" s="42"/>
      <c r="I36" s="42"/>
      <c r="J36" s="42"/>
      <c r="K36" s="42"/>
      <c r="L36" s="42"/>
      <c r="M36" s="42"/>
      <c r="N36" s="42"/>
      <c r="O36" s="42"/>
      <c r="P36" s="42"/>
      <c r="Q36" s="41"/>
      <c r="R36" s="41"/>
      <c r="S36" s="41"/>
      <c r="T36" s="41"/>
      <c r="U36" s="41"/>
      <c r="V36" s="41"/>
      <c r="W36" s="41"/>
      <c r="X36" s="41"/>
      <c r="Y36" s="41"/>
      <c r="Z36" s="41"/>
      <c r="AA36" s="41"/>
      <c r="AB36" s="41"/>
      <c r="AC36" s="41"/>
      <c r="AD36" s="41"/>
      <c r="AE36" s="41"/>
      <c r="AF36" s="41"/>
      <c r="AG36" s="41"/>
      <c r="AH36" s="41"/>
    </row>
    <row r="37" spans="1:34" x14ac:dyDescent="0.25">
      <c r="A37" s="9" t="s">
        <v>237</v>
      </c>
      <c r="B37" s="9"/>
      <c r="C37" s="42"/>
      <c r="D37" s="42"/>
      <c r="E37" s="42"/>
      <c r="F37" s="42"/>
      <c r="G37" s="42"/>
      <c r="H37" s="42"/>
      <c r="I37" s="42"/>
      <c r="J37" s="42"/>
      <c r="K37" s="42"/>
      <c r="L37" s="42"/>
      <c r="M37" s="42"/>
      <c r="N37" s="42"/>
      <c r="O37" s="42"/>
      <c r="P37" s="42"/>
      <c r="Q37" s="41"/>
      <c r="R37" s="41"/>
      <c r="S37" s="41"/>
      <c r="T37" s="41"/>
      <c r="U37" s="41"/>
      <c r="V37" s="41"/>
      <c r="W37" s="41"/>
      <c r="X37" s="41"/>
      <c r="Y37" s="41"/>
      <c r="Z37" s="41"/>
      <c r="AA37" s="41"/>
      <c r="AB37" s="41"/>
      <c r="AC37" s="41"/>
      <c r="AD37" s="41"/>
      <c r="AE37" s="41"/>
      <c r="AF37" s="41"/>
      <c r="AG37" s="41"/>
      <c r="AH37" s="41"/>
    </row>
    <row r="38" spans="1:34" x14ac:dyDescent="0.25">
      <c r="A38" s="9">
        <f>SUMIF(D118:D122,"&gt;=50")</f>
        <v>200</v>
      </c>
      <c r="B38" s="9"/>
      <c r="C38" s="42"/>
      <c r="D38" s="42"/>
      <c r="E38" s="42"/>
      <c r="F38" s="42"/>
      <c r="G38" s="42"/>
      <c r="H38" s="42"/>
      <c r="I38" s="42"/>
      <c r="J38" s="42"/>
      <c r="K38" s="42"/>
      <c r="L38" s="42"/>
      <c r="M38" s="42"/>
      <c r="N38" s="42"/>
      <c r="O38" s="42"/>
      <c r="P38" s="42"/>
      <c r="Q38" s="41"/>
      <c r="R38" s="41"/>
      <c r="S38" s="41"/>
      <c r="T38" s="41"/>
      <c r="U38" s="41"/>
      <c r="V38" s="41"/>
      <c r="W38" s="41"/>
      <c r="X38" s="41"/>
      <c r="Y38" s="41"/>
      <c r="Z38" s="41"/>
      <c r="AA38" s="41"/>
      <c r="AB38" s="41"/>
      <c r="AC38" s="41"/>
      <c r="AD38" s="41"/>
      <c r="AE38" s="41"/>
      <c r="AF38" s="41"/>
      <c r="AG38" s="41"/>
      <c r="AH38" s="41"/>
    </row>
    <row r="39" spans="1:34" x14ac:dyDescent="0.25">
      <c r="A39" s="9" t="s">
        <v>238</v>
      </c>
      <c r="B39" s="9"/>
      <c r="C39" s="42"/>
      <c r="D39" s="42"/>
      <c r="E39" s="42"/>
      <c r="F39" s="42"/>
      <c r="G39" s="42"/>
      <c r="H39" s="42"/>
      <c r="I39" s="42"/>
      <c r="J39" s="42"/>
      <c r="K39" s="42"/>
      <c r="L39" s="42"/>
      <c r="M39" s="42"/>
      <c r="N39" s="42"/>
      <c r="O39" s="42"/>
      <c r="P39" s="42"/>
      <c r="Q39" s="41"/>
      <c r="R39" s="41"/>
      <c r="S39" s="41"/>
      <c r="T39" s="41"/>
      <c r="U39" s="41"/>
      <c r="V39" s="41"/>
      <c r="W39" s="41"/>
      <c r="X39" s="41"/>
      <c r="Y39" s="41"/>
      <c r="Z39" s="41"/>
      <c r="AA39" s="41"/>
      <c r="AB39" s="41"/>
      <c r="AC39" s="41"/>
      <c r="AD39" s="41"/>
      <c r="AE39" s="41"/>
      <c r="AF39" s="41"/>
      <c r="AG39" s="41"/>
      <c r="AH39" s="41"/>
    </row>
    <row r="40" spans="1:34" x14ac:dyDescent="0.25">
      <c r="A40" s="9" t="s">
        <v>239</v>
      </c>
      <c r="B40" s="9"/>
      <c r="C40" s="42"/>
      <c r="D40" s="42"/>
      <c r="E40" s="42"/>
      <c r="F40" s="42"/>
      <c r="G40" s="42"/>
      <c r="H40" s="42"/>
      <c r="I40" s="42"/>
      <c r="J40" s="42"/>
      <c r="K40" s="42"/>
      <c r="L40" s="42"/>
      <c r="M40" s="42"/>
      <c r="N40" s="42"/>
      <c r="O40" s="42"/>
      <c r="P40" s="42"/>
      <c r="Q40" s="41"/>
      <c r="R40" s="41"/>
      <c r="S40" s="41"/>
      <c r="T40" s="41"/>
      <c r="U40" s="41"/>
      <c r="V40" s="41"/>
      <c r="W40" s="41"/>
      <c r="X40" s="41"/>
      <c r="Y40" s="41"/>
      <c r="Z40" s="41"/>
      <c r="AA40" s="41"/>
      <c r="AB40" s="41"/>
      <c r="AC40" s="41"/>
      <c r="AD40" s="41"/>
      <c r="AE40" s="41"/>
      <c r="AF40" s="41"/>
      <c r="AG40" s="41"/>
      <c r="AH40" s="41"/>
    </row>
    <row r="41" spans="1:34" x14ac:dyDescent="0.25">
      <c r="A41" s="9" t="s">
        <v>240</v>
      </c>
      <c r="B41" s="9"/>
      <c r="C41" s="42"/>
      <c r="D41" s="42"/>
      <c r="E41" s="42"/>
      <c r="F41" s="42"/>
      <c r="G41" s="42"/>
      <c r="H41" s="42"/>
      <c r="I41" s="42"/>
      <c r="J41" s="42"/>
      <c r="K41" s="42"/>
      <c r="L41" s="42"/>
      <c r="M41" s="42"/>
      <c r="N41" s="42"/>
      <c r="O41" s="42"/>
      <c r="P41" s="42"/>
      <c r="Q41" s="41"/>
      <c r="R41" s="41"/>
      <c r="S41" s="41"/>
      <c r="T41" s="41"/>
      <c r="U41" s="41"/>
      <c r="V41" s="41"/>
      <c r="W41" s="41"/>
      <c r="X41" s="41"/>
      <c r="Y41" s="41"/>
      <c r="Z41" s="41"/>
      <c r="AA41" s="41"/>
      <c r="AB41" s="41"/>
      <c r="AC41" s="41"/>
      <c r="AD41" s="41"/>
      <c r="AE41" s="41"/>
      <c r="AF41" s="41"/>
      <c r="AG41" s="41"/>
      <c r="AH41" s="41"/>
    </row>
    <row r="42" spans="1:34" x14ac:dyDescent="0.25">
      <c r="A42" s="9" t="s">
        <v>241</v>
      </c>
      <c r="B42" s="9"/>
      <c r="C42" s="42"/>
      <c r="D42" s="42"/>
      <c r="E42" s="42"/>
      <c r="F42" s="42"/>
      <c r="G42" s="42"/>
      <c r="H42" s="42"/>
      <c r="I42" s="42"/>
      <c r="J42" s="42"/>
      <c r="K42" s="42"/>
      <c r="L42" s="42"/>
      <c r="M42" s="42"/>
      <c r="N42" s="42"/>
      <c r="O42" s="42"/>
      <c r="P42" s="42"/>
      <c r="Q42" s="41"/>
      <c r="R42" s="41"/>
      <c r="S42" s="41"/>
      <c r="T42" s="41"/>
      <c r="U42" s="41"/>
      <c r="V42" s="41"/>
      <c r="W42" s="41"/>
      <c r="X42" s="41"/>
      <c r="Y42" s="41"/>
      <c r="Z42" s="41"/>
      <c r="AA42" s="41"/>
      <c r="AB42" s="41"/>
      <c r="AC42" s="41"/>
      <c r="AD42" s="41"/>
      <c r="AE42" s="41"/>
      <c r="AF42" s="41"/>
      <c r="AG42" s="41"/>
      <c r="AH42" s="41"/>
    </row>
    <row r="43" spans="1:34" x14ac:dyDescent="0.25">
      <c r="A43" s="9" t="s">
        <v>30</v>
      </c>
      <c r="B43" s="9"/>
      <c r="C43" s="42"/>
      <c r="D43" s="42"/>
      <c r="E43" s="42"/>
      <c r="F43" s="42"/>
      <c r="G43" s="42"/>
      <c r="H43" s="42"/>
      <c r="I43" s="42"/>
      <c r="J43" s="42"/>
      <c r="K43" s="42"/>
      <c r="L43" s="42"/>
      <c r="M43" s="42"/>
      <c r="N43" s="42"/>
      <c r="O43" s="42"/>
      <c r="P43" s="42"/>
      <c r="Q43" s="41"/>
      <c r="R43" s="41"/>
      <c r="S43" s="41"/>
      <c r="T43" s="41"/>
      <c r="U43" s="41"/>
      <c r="V43" s="41"/>
      <c r="W43" s="41"/>
      <c r="X43" s="41"/>
      <c r="Y43" s="41"/>
      <c r="Z43" s="41"/>
      <c r="AA43" s="41"/>
      <c r="AB43" s="41"/>
      <c r="AC43" s="41"/>
      <c r="AD43" s="41"/>
      <c r="AE43" s="41"/>
      <c r="AF43" s="41"/>
      <c r="AG43" s="41"/>
      <c r="AH43" s="41"/>
    </row>
    <row r="44" spans="1:34" x14ac:dyDescent="0.25">
      <c r="A44" s="9" t="s">
        <v>31</v>
      </c>
      <c r="B44" s="9"/>
      <c r="C44" s="42"/>
      <c r="D44" s="42"/>
      <c r="E44" s="42"/>
      <c r="F44" s="42"/>
      <c r="G44" s="42"/>
      <c r="H44" s="42"/>
      <c r="I44" s="42"/>
      <c r="J44" s="42"/>
      <c r="K44" s="42"/>
      <c r="L44" s="42"/>
      <c r="M44" s="42"/>
      <c r="N44" s="42"/>
      <c r="O44" s="42"/>
      <c r="P44" s="42"/>
      <c r="Q44" s="41"/>
      <c r="R44" s="41"/>
      <c r="S44" s="41"/>
      <c r="T44" s="41"/>
      <c r="U44" s="41"/>
      <c r="V44" s="41"/>
      <c r="W44" s="41"/>
      <c r="X44" s="41"/>
      <c r="Y44" s="41"/>
      <c r="Z44" s="41"/>
      <c r="AA44" s="41"/>
      <c r="AB44" s="41"/>
      <c r="AC44" s="41"/>
      <c r="AD44" s="41"/>
      <c r="AE44" s="41"/>
      <c r="AF44" s="41"/>
      <c r="AG44" s="41"/>
      <c r="AH44" s="41"/>
    </row>
    <row r="45" spans="1:34" x14ac:dyDescent="0.25">
      <c r="A45" s="9" t="s">
        <v>242</v>
      </c>
      <c r="B45" s="9"/>
      <c r="C45" s="42"/>
      <c r="D45" s="42"/>
      <c r="E45" s="42"/>
      <c r="F45" s="42"/>
      <c r="G45" s="42"/>
      <c r="H45" s="42"/>
      <c r="I45" s="42"/>
      <c r="J45" s="42"/>
      <c r="K45" s="42"/>
      <c r="L45" s="42"/>
      <c r="M45" s="42"/>
      <c r="N45" s="42"/>
      <c r="O45" s="42"/>
      <c r="P45" s="42"/>
      <c r="Q45" s="41"/>
      <c r="R45" s="41"/>
      <c r="S45" s="41"/>
      <c r="T45" s="41"/>
      <c r="U45" s="41"/>
      <c r="V45" s="41"/>
      <c r="W45" s="41"/>
      <c r="X45" s="41"/>
      <c r="Y45" s="41"/>
      <c r="Z45" s="41"/>
      <c r="AA45" s="41"/>
      <c r="AB45" s="41"/>
      <c r="AC45" s="41"/>
      <c r="AD45" s="41"/>
      <c r="AE45" s="41"/>
      <c r="AF45" s="41"/>
      <c r="AG45" s="41"/>
      <c r="AH45" s="41"/>
    </row>
    <row r="46" spans="1:34" x14ac:dyDescent="0.25">
      <c r="A46" s="9" t="s">
        <v>243</v>
      </c>
      <c r="B46" s="9"/>
      <c r="C46" s="42"/>
      <c r="D46" s="42"/>
      <c r="E46" s="42"/>
      <c r="F46" s="42"/>
      <c r="G46" s="42"/>
      <c r="H46" s="42"/>
      <c r="I46" s="42"/>
      <c r="J46" s="42"/>
      <c r="K46" s="42"/>
      <c r="L46" s="42"/>
      <c r="M46" s="42"/>
      <c r="N46" s="42"/>
      <c r="O46" s="42"/>
      <c r="P46" s="42"/>
      <c r="Q46" s="41"/>
      <c r="R46" s="41"/>
      <c r="S46" s="41"/>
      <c r="T46" s="41"/>
      <c r="U46" s="41"/>
      <c r="V46" s="41"/>
      <c r="W46" s="41"/>
      <c r="X46" s="41"/>
      <c r="Y46" s="41"/>
      <c r="Z46" s="41"/>
      <c r="AA46" s="41"/>
      <c r="AB46" s="41"/>
      <c r="AC46" s="41"/>
      <c r="AD46" s="41"/>
      <c r="AE46" s="41"/>
      <c r="AF46" s="41"/>
      <c r="AG46" s="41"/>
      <c r="AH46" s="41"/>
    </row>
    <row r="47" spans="1:34" x14ac:dyDescent="0.25">
      <c r="A47" s="9" t="s">
        <v>244</v>
      </c>
      <c r="B47" s="9"/>
      <c r="C47" s="42"/>
      <c r="D47" s="42"/>
      <c r="E47" s="42"/>
      <c r="F47" s="42"/>
      <c r="G47" s="42"/>
      <c r="H47" s="42"/>
      <c r="I47" s="42"/>
      <c r="J47" s="42"/>
      <c r="K47" s="42"/>
      <c r="L47" s="42"/>
      <c r="M47" s="42"/>
      <c r="N47" s="42"/>
      <c r="O47" s="42"/>
      <c r="P47" s="42"/>
      <c r="Q47" s="41"/>
      <c r="R47" s="41"/>
      <c r="S47" s="41"/>
      <c r="T47" s="41"/>
      <c r="U47" s="41"/>
      <c r="V47" s="41"/>
      <c r="W47" s="41"/>
      <c r="X47" s="41"/>
      <c r="Y47" s="41"/>
      <c r="Z47" s="41"/>
      <c r="AA47" s="41"/>
      <c r="AB47" s="41"/>
      <c r="AC47" s="41"/>
      <c r="AD47" s="41"/>
      <c r="AE47" s="41"/>
      <c r="AF47" s="41"/>
      <c r="AG47" s="41"/>
      <c r="AH47" s="41"/>
    </row>
    <row r="48" spans="1:34" x14ac:dyDescent="0.25">
      <c r="A48" s="9" t="s">
        <v>245</v>
      </c>
      <c r="B48" s="9"/>
      <c r="C48" s="42"/>
      <c r="D48" s="42"/>
      <c r="E48" s="42"/>
      <c r="F48" s="42"/>
      <c r="G48" s="42"/>
      <c r="H48" s="42"/>
      <c r="I48" s="42"/>
      <c r="J48" s="42"/>
      <c r="K48" s="42"/>
      <c r="L48" s="42"/>
      <c r="M48" s="42"/>
      <c r="N48" s="42"/>
      <c r="O48" s="42"/>
      <c r="P48" s="42"/>
      <c r="Q48" s="41"/>
      <c r="R48" s="41"/>
      <c r="S48" s="41"/>
      <c r="T48" s="41"/>
      <c r="U48" s="41"/>
      <c r="V48" s="41"/>
      <c r="W48" s="41"/>
      <c r="X48" s="41"/>
      <c r="Y48" s="41"/>
      <c r="Z48" s="41"/>
      <c r="AA48" s="41"/>
      <c r="AB48" s="41"/>
      <c r="AC48" s="41"/>
      <c r="AD48" s="41"/>
      <c r="AE48" s="41"/>
      <c r="AF48" s="41"/>
      <c r="AG48" s="41"/>
      <c r="AH48" s="41"/>
    </row>
    <row r="49" spans="1:34" x14ac:dyDescent="0.25">
      <c r="A49" s="9" t="s">
        <v>246</v>
      </c>
      <c r="B49" s="9"/>
      <c r="C49" s="7" t="s">
        <v>1</v>
      </c>
      <c r="D49" s="8" t="s">
        <v>2</v>
      </c>
      <c r="E49" s="43"/>
      <c r="F49" s="7" t="s">
        <v>1</v>
      </c>
      <c r="G49" s="7" t="s">
        <v>43</v>
      </c>
      <c r="H49" s="8" t="s">
        <v>2</v>
      </c>
      <c r="I49" s="42"/>
      <c r="J49" s="42"/>
      <c r="K49" s="42"/>
      <c r="L49" s="42"/>
      <c r="M49" s="42"/>
      <c r="N49" s="42"/>
      <c r="O49" s="42"/>
      <c r="P49" s="42"/>
      <c r="Q49" s="41"/>
      <c r="R49" s="41"/>
      <c r="S49" s="41"/>
      <c r="T49" s="41"/>
      <c r="U49" s="41"/>
      <c r="V49" s="41"/>
      <c r="W49" s="41"/>
      <c r="X49" s="41"/>
      <c r="Y49" s="41"/>
      <c r="Z49" s="41"/>
      <c r="AA49" s="41"/>
      <c r="AB49" s="41"/>
      <c r="AC49" s="41"/>
      <c r="AD49" s="41"/>
      <c r="AE49" s="41"/>
      <c r="AF49" s="41"/>
      <c r="AG49" s="41"/>
      <c r="AH49" s="41"/>
    </row>
    <row r="50" spans="1:34" x14ac:dyDescent="0.25">
      <c r="A50" s="9" t="s">
        <v>247</v>
      </c>
      <c r="B50" s="9"/>
      <c r="C50" s="44" t="s">
        <v>4</v>
      </c>
      <c r="D50" s="45">
        <v>50</v>
      </c>
      <c r="E50" s="43"/>
      <c r="F50" s="44" t="s">
        <v>4</v>
      </c>
      <c r="G50" s="44" t="s">
        <v>44</v>
      </c>
      <c r="H50" s="45">
        <v>50</v>
      </c>
      <c r="I50" s="42"/>
      <c r="J50" s="42"/>
      <c r="K50" s="42"/>
      <c r="L50" s="42"/>
      <c r="M50" s="42"/>
      <c r="N50" s="42"/>
      <c r="O50" s="42"/>
      <c r="P50" s="42"/>
      <c r="Q50" s="41"/>
      <c r="R50" s="41"/>
      <c r="S50" s="41"/>
      <c r="T50" s="41"/>
      <c r="U50" s="41"/>
      <c r="V50" s="41"/>
      <c r="W50" s="41"/>
      <c r="X50" s="41"/>
      <c r="Y50" s="41"/>
      <c r="Z50" s="41"/>
      <c r="AA50" s="41"/>
      <c r="AB50" s="41"/>
      <c r="AC50" s="41"/>
      <c r="AD50" s="41"/>
      <c r="AE50" s="41"/>
      <c r="AF50" s="41"/>
      <c r="AG50" s="41"/>
      <c r="AH50" s="41"/>
    </row>
    <row r="51" spans="1:34" x14ac:dyDescent="0.25">
      <c r="A51" s="9" t="s">
        <v>248</v>
      </c>
      <c r="B51" s="9"/>
      <c r="C51" s="44" t="s">
        <v>6</v>
      </c>
      <c r="D51" s="45">
        <v>20</v>
      </c>
      <c r="E51" s="43"/>
      <c r="F51" s="44" t="s">
        <v>6</v>
      </c>
      <c r="G51" s="44" t="s">
        <v>45</v>
      </c>
      <c r="H51" s="45">
        <v>20</v>
      </c>
      <c r="I51" s="42"/>
      <c r="J51" s="42"/>
      <c r="K51" s="42"/>
      <c r="L51" s="42"/>
      <c r="M51" s="42"/>
      <c r="N51" s="42"/>
      <c r="O51" s="42"/>
      <c r="P51" s="42"/>
      <c r="Q51" s="41"/>
      <c r="R51" s="41"/>
      <c r="S51" s="41"/>
      <c r="T51" s="41"/>
      <c r="U51" s="41"/>
      <c r="V51" s="41"/>
      <c r="W51" s="41"/>
      <c r="X51" s="41"/>
      <c r="Y51" s="41"/>
      <c r="Z51" s="41"/>
      <c r="AA51" s="41"/>
      <c r="AB51" s="41"/>
      <c r="AC51" s="41"/>
      <c r="AD51" s="41"/>
      <c r="AE51" s="41"/>
      <c r="AF51" s="41"/>
      <c r="AG51" s="41"/>
      <c r="AH51" s="41"/>
    </row>
    <row r="52" spans="1:34" x14ac:dyDescent="0.25">
      <c r="A52" s="9" t="s">
        <v>249</v>
      </c>
      <c r="B52" s="9"/>
      <c r="C52" s="44" t="s">
        <v>8</v>
      </c>
      <c r="D52" s="45">
        <v>60</v>
      </c>
      <c r="E52" s="43"/>
      <c r="F52" s="44" t="s">
        <v>8</v>
      </c>
      <c r="G52" s="44" t="s">
        <v>46</v>
      </c>
      <c r="H52" s="45">
        <v>60</v>
      </c>
      <c r="I52" s="42"/>
      <c r="J52" s="42"/>
      <c r="K52" s="42"/>
      <c r="L52" s="42"/>
      <c r="M52" s="42"/>
      <c r="N52" s="42"/>
      <c r="O52" s="42"/>
      <c r="P52" s="42"/>
      <c r="Q52" s="41"/>
      <c r="R52" s="41"/>
      <c r="S52" s="41"/>
      <c r="T52" s="41"/>
      <c r="U52" s="41"/>
      <c r="V52" s="41"/>
      <c r="W52" s="41"/>
      <c r="X52" s="41"/>
      <c r="Y52" s="41"/>
      <c r="Z52" s="41"/>
      <c r="AA52" s="41"/>
      <c r="AB52" s="41"/>
      <c r="AC52" s="41"/>
      <c r="AD52" s="41"/>
      <c r="AE52" s="41"/>
      <c r="AF52" s="41"/>
      <c r="AG52" s="41"/>
      <c r="AH52" s="41"/>
    </row>
    <row r="53" spans="1:34" x14ac:dyDescent="0.25">
      <c r="A53" s="9" t="s">
        <v>33</v>
      </c>
      <c r="B53" s="9"/>
      <c r="C53" s="44" t="s">
        <v>10</v>
      </c>
      <c r="D53" s="45">
        <v>40</v>
      </c>
      <c r="E53" s="43"/>
      <c r="F53" s="44" t="s">
        <v>10</v>
      </c>
      <c r="G53" s="44" t="s">
        <v>47</v>
      </c>
      <c r="H53" s="45">
        <v>40</v>
      </c>
      <c r="I53" s="42"/>
      <c r="J53" s="42"/>
      <c r="K53" s="42"/>
      <c r="L53" s="42"/>
      <c r="M53" s="42"/>
      <c r="N53" s="42"/>
      <c r="O53" s="42"/>
      <c r="P53" s="42"/>
      <c r="Q53" s="41"/>
      <c r="R53" s="41"/>
      <c r="S53" s="41"/>
      <c r="T53" s="41"/>
      <c r="U53" s="41"/>
      <c r="V53" s="41"/>
      <c r="W53" s="41"/>
      <c r="X53" s="41"/>
      <c r="Y53" s="41"/>
      <c r="Z53" s="41"/>
      <c r="AA53" s="41"/>
      <c r="AB53" s="41"/>
      <c r="AC53" s="41"/>
      <c r="AD53" s="41"/>
      <c r="AE53" s="41"/>
      <c r="AF53" s="41"/>
      <c r="AG53" s="41"/>
      <c r="AH53" s="41"/>
    </row>
    <row r="54" spans="1:34" x14ac:dyDescent="0.25">
      <c r="A54" s="9" t="s">
        <v>158</v>
      </c>
      <c r="B54" s="9"/>
      <c r="C54" s="44" t="s">
        <v>4</v>
      </c>
      <c r="D54" s="45">
        <v>50</v>
      </c>
      <c r="E54" s="43"/>
      <c r="F54" s="44" t="s">
        <v>4</v>
      </c>
      <c r="G54" s="44" t="s">
        <v>48</v>
      </c>
      <c r="H54" s="45">
        <v>50</v>
      </c>
      <c r="I54" s="42"/>
      <c r="J54" s="42"/>
      <c r="K54" s="42"/>
      <c r="L54" s="42"/>
      <c r="M54" s="42"/>
      <c r="N54" s="42"/>
      <c r="O54" s="42"/>
      <c r="P54" s="42"/>
      <c r="Q54" s="41"/>
      <c r="R54" s="41"/>
      <c r="S54" s="41"/>
      <c r="T54" s="41"/>
      <c r="U54" s="41"/>
      <c r="V54" s="41"/>
      <c r="W54" s="41"/>
      <c r="X54" s="41"/>
      <c r="Y54" s="41"/>
      <c r="Z54" s="41"/>
      <c r="AA54" s="41"/>
      <c r="AB54" s="41"/>
      <c r="AC54" s="41"/>
      <c r="AD54" s="41"/>
      <c r="AE54" s="41"/>
      <c r="AF54" s="41"/>
      <c r="AG54" s="41"/>
      <c r="AH54" s="41"/>
    </row>
    <row r="55" spans="1:34" x14ac:dyDescent="0.25">
      <c r="A55" s="9" t="s">
        <v>140</v>
      </c>
      <c r="B55" s="9"/>
      <c r="C55" s="44" t="s">
        <v>6</v>
      </c>
      <c r="D55" s="45">
        <v>20</v>
      </c>
      <c r="E55" s="43"/>
      <c r="F55" s="44" t="s">
        <v>6</v>
      </c>
      <c r="G55" s="44" t="s">
        <v>49</v>
      </c>
      <c r="H55" s="45">
        <v>20</v>
      </c>
      <c r="I55" s="42"/>
      <c r="J55" s="42"/>
      <c r="K55" s="42"/>
      <c r="L55" s="42"/>
      <c r="M55" s="42"/>
      <c r="N55" s="42"/>
      <c r="O55" s="42"/>
      <c r="P55" s="42"/>
      <c r="Q55" s="41"/>
      <c r="R55" s="41"/>
      <c r="S55" s="41"/>
      <c r="T55" s="41"/>
      <c r="U55" s="41"/>
      <c r="V55" s="41"/>
      <c r="W55" s="41"/>
      <c r="X55" s="41"/>
      <c r="Y55" s="41"/>
      <c r="Z55" s="41"/>
      <c r="AA55" s="41"/>
      <c r="AB55" s="41"/>
      <c r="AC55" s="41"/>
      <c r="AD55" s="41"/>
      <c r="AE55" s="41"/>
      <c r="AF55" s="41"/>
      <c r="AG55" s="41"/>
      <c r="AH55" s="41"/>
    </row>
    <row r="56" spans="1:34" x14ac:dyDescent="0.25">
      <c r="B56" s="9"/>
      <c r="C56" s="44" t="s">
        <v>8</v>
      </c>
      <c r="D56" s="45">
        <v>60</v>
      </c>
      <c r="E56" s="43"/>
      <c r="F56" s="44" t="s">
        <v>8</v>
      </c>
      <c r="G56" s="44" t="s">
        <v>50</v>
      </c>
      <c r="H56" s="45">
        <v>60</v>
      </c>
      <c r="I56" s="42"/>
      <c r="J56" s="42"/>
      <c r="K56" s="42"/>
      <c r="L56" s="42"/>
      <c r="M56" s="42"/>
      <c r="N56" s="42"/>
      <c r="O56" s="42"/>
      <c r="P56" s="42"/>
      <c r="Q56" s="41"/>
      <c r="R56" s="41"/>
      <c r="S56" s="41"/>
      <c r="T56" s="41"/>
      <c r="U56" s="41"/>
      <c r="V56" s="41"/>
      <c r="W56" s="41"/>
      <c r="X56" s="41"/>
      <c r="Y56" s="41"/>
      <c r="Z56" s="41"/>
      <c r="AA56" s="41"/>
      <c r="AB56" s="41"/>
      <c r="AC56" s="41"/>
      <c r="AD56" s="41"/>
      <c r="AE56" s="41"/>
      <c r="AF56" s="41"/>
      <c r="AG56" s="41"/>
      <c r="AH56" s="41"/>
    </row>
    <row r="57" spans="1:34" x14ac:dyDescent="0.25">
      <c r="B57" s="9"/>
      <c r="C57" s="44" t="s">
        <v>10</v>
      </c>
      <c r="D57" s="45">
        <v>40</v>
      </c>
      <c r="E57" s="43"/>
      <c r="F57" s="44" t="s">
        <v>10</v>
      </c>
      <c r="G57" s="44" t="s">
        <v>51</v>
      </c>
      <c r="H57" s="45">
        <v>40</v>
      </c>
      <c r="I57" s="42"/>
      <c r="J57" s="42"/>
      <c r="K57" s="42"/>
      <c r="L57" s="42"/>
      <c r="M57" s="42"/>
      <c r="N57" s="42"/>
      <c r="O57" s="42"/>
      <c r="P57" s="42"/>
      <c r="Q57" s="41"/>
      <c r="R57" s="41"/>
      <c r="S57" s="41"/>
      <c r="T57" s="41"/>
      <c r="U57" s="41"/>
      <c r="V57" s="41"/>
      <c r="W57" s="41"/>
      <c r="X57" s="41"/>
      <c r="Y57" s="41"/>
      <c r="Z57" s="41"/>
      <c r="AA57" s="41"/>
      <c r="AB57" s="41"/>
      <c r="AC57" s="41"/>
      <c r="AD57" s="41"/>
      <c r="AE57" s="41"/>
      <c r="AF57" s="41"/>
      <c r="AG57" s="41"/>
      <c r="AH57" s="41"/>
    </row>
    <row r="58" spans="1:34" x14ac:dyDescent="0.25">
      <c r="B58" s="9"/>
      <c r="C58" s="44" t="s">
        <v>4</v>
      </c>
      <c r="D58" s="45">
        <v>50</v>
      </c>
      <c r="E58" s="43"/>
      <c r="F58" s="44" t="s">
        <v>4</v>
      </c>
      <c r="G58" s="44" t="s">
        <v>48</v>
      </c>
      <c r="H58" s="45">
        <v>50</v>
      </c>
      <c r="I58" s="42"/>
      <c r="J58" s="42"/>
      <c r="K58" s="42"/>
      <c r="L58" s="42"/>
      <c r="M58" s="42"/>
      <c r="N58" s="42"/>
      <c r="O58" s="42"/>
      <c r="P58" s="42"/>
      <c r="Q58" s="41"/>
      <c r="R58" s="41"/>
      <c r="S58" s="41"/>
      <c r="T58" s="41"/>
      <c r="U58" s="41"/>
      <c r="V58" s="41"/>
      <c r="W58" s="41"/>
      <c r="X58" s="41"/>
      <c r="Y58" s="41"/>
      <c r="Z58" s="41"/>
      <c r="AA58" s="41"/>
      <c r="AB58" s="41"/>
      <c r="AC58" s="41"/>
      <c r="AD58" s="41"/>
      <c r="AE58" s="41"/>
      <c r="AF58" s="41"/>
      <c r="AG58" s="41"/>
      <c r="AH58" s="41"/>
    </row>
    <row r="59" spans="1:34" x14ac:dyDescent="0.25">
      <c r="B59" s="9"/>
      <c r="C59" s="44" t="s">
        <v>6</v>
      </c>
      <c r="D59" s="45">
        <v>20</v>
      </c>
      <c r="E59" s="43"/>
      <c r="F59" s="44" t="s">
        <v>6</v>
      </c>
      <c r="G59" s="44" t="s">
        <v>49</v>
      </c>
      <c r="H59" s="45">
        <v>20</v>
      </c>
      <c r="I59" s="42"/>
      <c r="J59" s="42"/>
      <c r="K59" s="42"/>
      <c r="L59" s="42"/>
      <c r="M59" s="42"/>
      <c r="N59" s="42"/>
      <c r="O59" s="42"/>
      <c r="P59" s="42"/>
      <c r="Q59" s="41"/>
      <c r="R59" s="41"/>
      <c r="S59" s="41"/>
      <c r="T59" s="41"/>
      <c r="U59" s="41"/>
      <c r="V59" s="41"/>
      <c r="W59" s="41"/>
      <c r="X59" s="41"/>
      <c r="Y59" s="41"/>
      <c r="Z59" s="41"/>
      <c r="AA59" s="41"/>
      <c r="AB59" s="41"/>
      <c r="AC59" s="41"/>
      <c r="AD59" s="41"/>
      <c r="AE59" s="41"/>
      <c r="AF59" s="41"/>
      <c r="AG59" s="41"/>
      <c r="AH59" s="41"/>
    </row>
    <row r="60" spans="1:34" x14ac:dyDescent="0.25">
      <c r="B60" s="9"/>
      <c r="C60" s="44" t="s">
        <v>8</v>
      </c>
      <c r="D60" s="45">
        <v>60</v>
      </c>
      <c r="E60" s="43"/>
      <c r="F60" s="44" t="s">
        <v>8</v>
      </c>
      <c r="G60" s="44" t="s">
        <v>46</v>
      </c>
      <c r="H60" s="45">
        <v>60</v>
      </c>
      <c r="I60" s="42"/>
      <c r="J60" s="42"/>
      <c r="K60" s="42"/>
      <c r="L60" s="42"/>
      <c r="M60" s="42"/>
      <c r="N60" s="42"/>
      <c r="O60" s="42"/>
      <c r="P60" s="42"/>
      <c r="Q60" s="41"/>
      <c r="R60" s="41"/>
      <c r="S60" s="41"/>
      <c r="T60" s="41"/>
      <c r="U60" s="41"/>
      <c r="V60" s="41"/>
      <c r="W60" s="41"/>
      <c r="X60" s="41"/>
      <c r="Y60" s="41"/>
      <c r="Z60" s="41"/>
      <c r="AA60" s="41"/>
      <c r="AB60" s="41"/>
      <c r="AC60" s="41"/>
      <c r="AD60" s="41"/>
      <c r="AE60" s="41"/>
      <c r="AF60" s="41"/>
      <c r="AG60" s="41"/>
      <c r="AH60" s="41"/>
    </row>
    <row r="61" spans="1:34" x14ac:dyDescent="0.25">
      <c r="B61" s="9"/>
      <c r="C61" s="44" t="s">
        <v>10</v>
      </c>
      <c r="D61" s="45">
        <v>40</v>
      </c>
      <c r="E61" s="43"/>
      <c r="F61" s="44" t="s">
        <v>10</v>
      </c>
      <c r="G61" s="44" t="s">
        <v>51</v>
      </c>
      <c r="H61" s="45">
        <v>40</v>
      </c>
      <c r="I61" s="42"/>
      <c r="J61" s="42"/>
      <c r="K61" s="42"/>
      <c r="L61" s="42"/>
      <c r="M61" s="42"/>
      <c r="N61" s="42"/>
      <c r="O61" s="42"/>
      <c r="P61" s="42"/>
      <c r="Q61" s="41"/>
      <c r="R61" s="41"/>
      <c r="S61" s="41"/>
      <c r="T61" s="41"/>
      <c r="U61" s="41"/>
      <c r="V61" s="41"/>
      <c r="W61" s="41"/>
      <c r="X61" s="41"/>
      <c r="Y61" s="41"/>
      <c r="Z61" s="41"/>
      <c r="AA61" s="41"/>
      <c r="AB61" s="41"/>
      <c r="AC61" s="41"/>
      <c r="AD61" s="41"/>
      <c r="AE61" s="41"/>
      <c r="AF61" s="41"/>
      <c r="AG61" s="41"/>
      <c r="AH61" s="41"/>
    </row>
    <row r="62" spans="1:34" x14ac:dyDescent="0.25">
      <c r="B62" s="9"/>
      <c r="C62" s="23"/>
      <c r="D62" s="23"/>
      <c r="E62" s="23"/>
      <c r="F62" s="23"/>
      <c r="G62" s="23"/>
      <c r="H62" s="23"/>
      <c r="I62" s="42"/>
      <c r="J62" s="42"/>
      <c r="K62" s="42"/>
      <c r="L62" s="42"/>
      <c r="M62" s="42"/>
      <c r="N62" s="42"/>
      <c r="O62" s="42"/>
      <c r="P62" s="42"/>
      <c r="Q62" s="41"/>
      <c r="R62" s="41"/>
      <c r="S62" s="41"/>
      <c r="T62" s="41"/>
      <c r="U62" s="41"/>
      <c r="V62" s="41"/>
      <c r="W62" s="41"/>
      <c r="X62" s="41"/>
      <c r="Y62" s="41"/>
      <c r="Z62" s="41"/>
      <c r="AA62" s="41"/>
      <c r="AB62" s="41"/>
      <c r="AC62" s="41"/>
      <c r="AD62" s="41"/>
      <c r="AE62" s="41"/>
      <c r="AF62" s="41"/>
      <c r="AG62" s="41"/>
      <c r="AH62" s="41"/>
    </row>
    <row r="63" spans="1:34" ht="15.75" thickBot="1" x14ac:dyDescent="0.3">
      <c r="B63" s="9"/>
      <c r="C63" s="42" t="s">
        <v>1</v>
      </c>
      <c r="D63" s="25" t="s">
        <v>76</v>
      </c>
      <c r="E63" s="43"/>
      <c r="F63" s="42" t="s">
        <v>1</v>
      </c>
      <c r="G63" s="42" t="s">
        <v>43</v>
      </c>
      <c r="H63" s="25" t="s">
        <v>77</v>
      </c>
      <c r="I63" s="42"/>
      <c r="J63" s="42"/>
      <c r="K63" s="42"/>
      <c r="L63" s="42"/>
      <c r="M63" s="42"/>
      <c r="N63" s="42"/>
      <c r="O63" s="42"/>
      <c r="P63" s="42"/>
      <c r="Q63" s="41"/>
      <c r="R63" s="41"/>
      <c r="S63" s="41"/>
      <c r="T63" s="41"/>
      <c r="U63" s="41"/>
      <c r="V63" s="41"/>
      <c r="W63" s="41"/>
      <c r="X63" s="41"/>
      <c r="Y63" s="41"/>
      <c r="Z63" s="41"/>
      <c r="AA63" s="41"/>
      <c r="AB63" s="41"/>
      <c r="AC63" s="41"/>
      <c r="AD63" s="41"/>
      <c r="AE63" s="41"/>
      <c r="AF63" s="41"/>
      <c r="AG63" s="41"/>
      <c r="AH63" s="41"/>
    </row>
    <row r="64" spans="1:34" ht="16.5" thickTop="1" thickBot="1" x14ac:dyDescent="0.3">
      <c r="B64" s="9"/>
      <c r="C64" s="50" t="s">
        <v>4</v>
      </c>
      <c r="D64" s="51">
        <f>COUNTIF(C50:C61,C64)</f>
        <v>3</v>
      </c>
      <c r="E64" s="43"/>
      <c r="F64" s="50" t="s">
        <v>6</v>
      </c>
      <c r="G64" s="50" t="s">
        <v>45</v>
      </c>
      <c r="H64" s="46">
        <f>COUNTIFS(F50:F61,F64,G50:G61,G64)</f>
        <v>1</v>
      </c>
      <c r="I64" s="42"/>
      <c r="J64" s="42"/>
      <c r="K64" s="42"/>
      <c r="L64" s="42"/>
      <c r="M64" s="42"/>
      <c r="N64" s="42"/>
      <c r="O64" s="42"/>
      <c r="P64" s="42"/>
      <c r="Q64" s="41"/>
      <c r="R64" s="41"/>
      <c r="S64" s="41"/>
      <c r="T64" s="41"/>
      <c r="U64" s="41"/>
      <c r="V64" s="41"/>
      <c r="W64" s="41"/>
      <c r="X64" s="41"/>
      <c r="Y64" s="41"/>
      <c r="Z64" s="41"/>
      <c r="AA64" s="41"/>
      <c r="AB64" s="41"/>
      <c r="AC64" s="41"/>
      <c r="AD64" s="41"/>
      <c r="AE64" s="41"/>
      <c r="AF64" s="41"/>
      <c r="AG64" s="41"/>
      <c r="AH64" s="41"/>
    </row>
    <row r="65" spans="2:34" ht="15.75" thickTop="1" x14ac:dyDescent="0.25">
      <c r="B65" s="9"/>
      <c r="C65" s="42"/>
      <c r="D65" s="42"/>
      <c r="E65" s="43"/>
      <c r="F65" s="42"/>
      <c r="G65" s="42"/>
      <c r="H65" s="42"/>
      <c r="I65" s="42"/>
      <c r="J65" s="42"/>
      <c r="K65" s="42"/>
      <c r="L65" s="42"/>
      <c r="M65" s="42"/>
      <c r="N65" s="42"/>
      <c r="O65" s="42"/>
      <c r="P65" s="42"/>
      <c r="Q65" s="41"/>
      <c r="R65" s="41"/>
      <c r="S65" s="41"/>
      <c r="T65" s="41"/>
      <c r="U65" s="41"/>
      <c r="V65" s="41"/>
      <c r="W65" s="41"/>
      <c r="X65" s="41"/>
      <c r="Y65" s="41"/>
      <c r="Z65" s="41"/>
      <c r="AA65" s="41"/>
      <c r="AB65" s="41"/>
      <c r="AC65" s="41"/>
      <c r="AD65" s="41"/>
      <c r="AE65" s="41"/>
      <c r="AF65" s="41"/>
      <c r="AG65" s="41"/>
      <c r="AH65" s="41"/>
    </row>
    <row r="66" spans="2:34" x14ac:dyDescent="0.25">
      <c r="B66" s="9"/>
      <c r="C66" s="1"/>
      <c r="D66" s="1"/>
      <c r="E66" s="1"/>
      <c r="F66" s="1"/>
      <c r="G66" s="1"/>
      <c r="H66" s="1"/>
      <c r="I66" s="42"/>
      <c r="J66" s="42"/>
      <c r="K66" s="42"/>
      <c r="L66" s="42"/>
      <c r="M66" s="42"/>
      <c r="N66" s="42"/>
      <c r="O66" s="42"/>
      <c r="P66" s="42"/>
      <c r="Q66" s="41"/>
      <c r="R66" s="41"/>
      <c r="S66" s="41"/>
      <c r="T66" s="41"/>
      <c r="U66" s="41"/>
      <c r="V66" s="41"/>
      <c r="W66" s="41"/>
      <c r="X66" s="41"/>
      <c r="Y66" s="41"/>
      <c r="Z66" s="41"/>
      <c r="AA66" s="41"/>
      <c r="AB66" s="41"/>
      <c r="AC66" s="41"/>
      <c r="AD66" s="41"/>
      <c r="AE66" s="41"/>
      <c r="AF66" s="41"/>
      <c r="AG66" s="41"/>
      <c r="AH66" s="41"/>
    </row>
    <row r="67" spans="2:34" x14ac:dyDescent="0.25">
      <c r="B67" s="9"/>
      <c r="C67" s="1"/>
      <c r="D67" s="1"/>
      <c r="E67" s="1"/>
      <c r="F67" s="1"/>
      <c r="G67" s="1"/>
      <c r="H67" s="1"/>
      <c r="I67" s="42"/>
      <c r="J67" s="42"/>
      <c r="K67" s="42"/>
      <c r="L67" s="42"/>
      <c r="M67" s="42"/>
      <c r="N67" s="42"/>
      <c r="O67" s="42"/>
      <c r="P67" s="42"/>
      <c r="Q67" s="41"/>
      <c r="R67" s="41"/>
      <c r="S67" s="41"/>
      <c r="T67" s="41"/>
      <c r="U67" s="41"/>
      <c r="V67" s="41"/>
      <c r="W67" s="41"/>
      <c r="X67" s="41"/>
      <c r="Y67" s="41"/>
      <c r="Z67" s="41"/>
      <c r="AA67" s="41"/>
      <c r="AB67" s="41"/>
      <c r="AC67" s="41"/>
      <c r="AD67" s="41"/>
      <c r="AE67" s="41"/>
      <c r="AF67" s="41"/>
      <c r="AG67" s="41"/>
      <c r="AH67" s="41"/>
    </row>
    <row r="68" spans="2:34" x14ac:dyDescent="0.25">
      <c r="B68" s="9"/>
      <c r="C68" s="1"/>
      <c r="D68" s="1"/>
      <c r="E68" s="1"/>
      <c r="F68" s="1"/>
      <c r="G68" s="1"/>
      <c r="H68" s="1"/>
      <c r="I68" s="42"/>
      <c r="J68" s="42"/>
      <c r="K68" s="42"/>
      <c r="L68" s="42"/>
      <c r="M68" s="42"/>
      <c r="N68" s="42"/>
      <c r="O68" s="42"/>
      <c r="P68" s="42"/>
      <c r="Q68" s="41"/>
      <c r="R68" s="41"/>
      <c r="S68" s="41"/>
      <c r="T68" s="41"/>
      <c r="U68" s="41"/>
      <c r="V68" s="41"/>
      <c r="W68" s="41"/>
      <c r="X68" s="41"/>
      <c r="Y68" s="41"/>
      <c r="Z68" s="41"/>
      <c r="AA68" s="41"/>
      <c r="AB68" s="41"/>
      <c r="AC68" s="41"/>
      <c r="AD68" s="41"/>
      <c r="AE68" s="41"/>
      <c r="AF68" s="41"/>
      <c r="AG68" s="41"/>
      <c r="AH68" s="41"/>
    </row>
    <row r="69" spans="2:34" x14ac:dyDescent="0.25">
      <c r="B69" s="9"/>
      <c r="C69" s="1"/>
      <c r="D69" s="1"/>
      <c r="E69" s="1"/>
      <c r="F69" s="1"/>
      <c r="G69" s="1"/>
      <c r="H69" s="1"/>
      <c r="I69" s="42"/>
      <c r="J69" s="42"/>
      <c r="K69" s="42"/>
      <c r="L69" s="42"/>
      <c r="M69" s="42"/>
      <c r="N69" s="42"/>
      <c r="O69" s="42"/>
      <c r="P69" s="42"/>
      <c r="Q69" s="41"/>
      <c r="R69" s="41"/>
      <c r="S69" s="41"/>
      <c r="T69" s="41"/>
      <c r="U69" s="41"/>
      <c r="V69" s="41"/>
      <c r="W69" s="41"/>
      <c r="X69" s="41"/>
      <c r="Y69" s="41"/>
      <c r="Z69" s="41"/>
      <c r="AA69" s="41"/>
      <c r="AB69" s="41"/>
      <c r="AC69" s="41"/>
      <c r="AD69" s="41"/>
      <c r="AE69" s="41"/>
      <c r="AF69" s="41"/>
      <c r="AG69" s="41"/>
      <c r="AH69" s="41"/>
    </row>
    <row r="70" spans="2:34" x14ac:dyDescent="0.25">
      <c r="B70" s="9"/>
      <c r="C70" s="1"/>
      <c r="D70" s="1"/>
      <c r="E70" s="1"/>
      <c r="F70" s="1"/>
      <c r="G70" s="1"/>
      <c r="H70" s="1"/>
      <c r="I70" s="42"/>
      <c r="J70" s="42"/>
      <c r="K70" s="42"/>
      <c r="L70" s="42"/>
      <c r="M70" s="42"/>
      <c r="N70" s="42"/>
      <c r="O70" s="42"/>
      <c r="P70" s="42"/>
      <c r="Q70" s="41"/>
      <c r="R70" s="41"/>
      <c r="S70" s="41"/>
      <c r="T70" s="41"/>
      <c r="U70" s="41"/>
      <c r="V70" s="41"/>
      <c r="W70" s="41"/>
      <c r="X70" s="41"/>
      <c r="Y70" s="41"/>
      <c r="Z70" s="41"/>
      <c r="AA70" s="41"/>
      <c r="AB70" s="41"/>
      <c r="AC70" s="41"/>
      <c r="AD70" s="41"/>
      <c r="AE70" s="41"/>
      <c r="AF70" s="41"/>
      <c r="AG70" s="41"/>
      <c r="AH70" s="41"/>
    </row>
    <row r="71" spans="2:34" x14ac:dyDescent="0.25">
      <c r="B71" s="9"/>
      <c r="C71" s="1"/>
      <c r="D71" s="1"/>
      <c r="E71" s="1"/>
      <c r="F71" s="1"/>
      <c r="G71" s="1"/>
      <c r="H71" s="1"/>
      <c r="I71" s="42"/>
      <c r="J71" s="42"/>
      <c r="K71" s="42"/>
      <c r="L71" s="42"/>
      <c r="M71" s="42"/>
      <c r="N71" s="42"/>
      <c r="O71" s="42"/>
      <c r="P71" s="42"/>
      <c r="Q71" s="41"/>
      <c r="R71" s="41"/>
      <c r="S71" s="41"/>
      <c r="T71" s="41"/>
      <c r="U71" s="41"/>
      <c r="V71" s="41"/>
      <c r="W71" s="41"/>
      <c r="X71" s="41"/>
      <c r="Y71" s="41"/>
      <c r="Z71" s="41"/>
      <c r="AA71" s="41"/>
      <c r="AB71" s="41"/>
      <c r="AC71" s="41"/>
      <c r="AD71" s="41"/>
      <c r="AE71" s="41"/>
      <c r="AF71" s="41"/>
      <c r="AG71" s="41"/>
      <c r="AH71" s="41"/>
    </row>
    <row r="72" spans="2:34" x14ac:dyDescent="0.25">
      <c r="B72" s="9"/>
      <c r="C72" s="1"/>
      <c r="D72" s="1"/>
      <c r="E72" s="1"/>
      <c r="F72" s="1"/>
      <c r="G72" s="1"/>
      <c r="H72" s="1"/>
      <c r="I72" s="42"/>
      <c r="J72" s="42"/>
      <c r="K72" s="42"/>
      <c r="L72" s="42"/>
      <c r="M72" s="42"/>
      <c r="N72" s="42"/>
      <c r="O72" s="42"/>
      <c r="P72" s="42"/>
      <c r="Q72" s="41"/>
      <c r="R72" s="41"/>
      <c r="S72" s="41"/>
      <c r="T72" s="41"/>
      <c r="U72" s="41"/>
      <c r="V72" s="41"/>
      <c r="W72" s="41"/>
      <c r="X72" s="41"/>
      <c r="Y72" s="41"/>
      <c r="Z72" s="41"/>
      <c r="AA72" s="41"/>
      <c r="AB72" s="41"/>
      <c r="AC72" s="41"/>
      <c r="AD72" s="41"/>
      <c r="AE72" s="41"/>
      <c r="AF72" s="41"/>
      <c r="AG72" s="41"/>
      <c r="AH72" s="41"/>
    </row>
    <row r="73" spans="2:34" x14ac:dyDescent="0.25">
      <c r="B73" s="9"/>
      <c r="C73" s="1"/>
      <c r="D73" s="1"/>
      <c r="E73" s="1"/>
      <c r="F73" s="1"/>
      <c r="G73" s="1"/>
      <c r="H73" s="1"/>
      <c r="I73" s="42"/>
      <c r="J73" s="42"/>
      <c r="K73" s="42"/>
      <c r="L73" s="42"/>
      <c r="M73" s="42"/>
      <c r="N73" s="42"/>
      <c r="O73" s="42"/>
      <c r="P73" s="42"/>
      <c r="Q73" s="41"/>
      <c r="R73" s="41"/>
      <c r="S73" s="41"/>
      <c r="T73" s="41"/>
      <c r="U73" s="41"/>
      <c r="V73" s="41"/>
      <c r="W73" s="41"/>
      <c r="X73" s="41"/>
      <c r="Y73" s="41"/>
      <c r="Z73" s="41"/>
      <c r="AA73" s="41"/>
      <c r="AB73" s="41"/>
      <c r="AC73" s="41"/>
      <c r="AD73" s="41"/>
      <c r="AE73" s="41"/>
      <c r="AF73" s="41"/>
      <c r="AG73" s="41"/>
      <c r="AH73" s="41"/>
    </row>
    <row r="74" spans="2:34" x14ac:dyDescent="0.25">
      <c r="B74" s="9"/>
      <c r="C74" s="1"/>
      <c r="D74" s="1"/>
      <c r="E74" s="1"/>
      <c r="F74" s="1"/>
      <c r="G74" s="1"/>
      <c r="H74" s="1"/>
      <c r="I74" s="42"/>
      <c r="J74" s="42"/>
      <c r="K74" s="42"/>
      <c r="L74" s="42"/>
      <c r="M74" s="42"/>
      <c r="N74" s="42"/>
      <c r="O74" s="42"/>
      <c r="P74" s="42"/>
      <c r="Q74" s="41"/>
      <c r="R74" s="41"/>
      <c r="S74" s="41"/>
      <c r="T74" s="41"/>
      <c r="U74" s="41"/>
      <c r="V74" s="41"/>
      <c r="W74" s="41"/>
      <c r="X74" s="41"/>
      <c r="Y74" s="41"/>
      <c r="Z74" s="41"/>
      <c r="AA74" s="41"/>
      <c r="AB74" s="41"/>
      <c r="AC74" s="41"/>
      <c r="AD74" s="41"/>
      <c r="AE74" s="41"/>
      <c r="AF74" s="41"/>
      <c r="AG74" s="41"/>
      <c r="AH74" s="41"/>
    </row>
    <row r="75" spans="2:34" x14ac:dyDescent="0.25">
      <c r="B75" s="9"/>
      <c r="C75" s="1"/>
      <c r="D75" s="1"/>
      <c r="E75" s="1"/>
      <c r="F75" s="1"/>
      <c r="G75" s="1"/>
      <c r="H75" s="1"/>
      <c r="I75" s="42"/>
      <c r="J75" s="42"/>
      <c r="K75" s="42"/>
      <c r="L75" s="42"/>
      <c r="M75" s="42"/>
      <c r="N75" s="42"/>
      <c r="O75" s="42"/>
      <c r="P75" s="42"/>
      <c r="Q75" s="41"/>
      <c r="R75" s="41"/>
      <c r="S75" s="41"/>
      <c r="T75" s="41"/>
      <c r="U75" s="41"/>
      <c r="V75" s="41"/>
      <c r="W75" s="41"/>
      <c r="X75" s="41"/>
      <c r="Y75" s="41"/>
      <c r="Z75" s="41"/>
      <c r="AA75" s="41"/>
      <c r="AB75" s="41"/>
      <c r="AC75" s="41"/>
      <c r="AD75" s="41"/>
      <c r="AE75" s="41"/>
      <c r="AF75" s="41"/>
      <c r="AG75" s="41"/>
      <c r="AH75" s="41"/>
    </row>
    <row r="76" spans="2:34" x14ac:dyDescent="0.25">
      <c r="B76" s="9"/>
      <c r="C76" s="1"/>
      <c r="D76" s="1"/>
      <c r="E76" s="1"/>
      <c r="F76" s="1"/>
      <c r="G76" s="1"/>
      <c r="H76" s="1"/>
      <c r="I76" s="42"/>
      <c r="J76" s="42"/>
      <c r="K76" s="42"/>
      <c r="L76" s="42"/>
      <c r="M76" s="42"/>
      <c r="N76" s="42"/>
      <c r="O76" s="42"/>
      <c r="P76" s="42"/>
      <c r="Q76" s="41"/>
      <c r="R76" s="41"/>
      <c r="S76" s="41"/>
      <c r="T76" s="41"/>
      <c r="U76" s="41"/>
      <c r="V76" s="41"/>
      <c r="W76" s="41"/>
      <c r="X76" s="41"/>
      <c r="Y76" s="41"/>
      <c r="Z76" s="41"/>
      <c r="AA76" s="41"/>
      <c r="AB76" s="41"/>
      <c r="AC76" s="41"/>
      <c r="AD76" s="41"/>
      <c r="AE76" s="41"/>
      <c r="AF76" s="41"/>
      <c r="AG76" s="41"/>
      <c r="AH76" s="41"/>
    </row>
    <row r="77" spans="2:34" x14ac:dyDescent="0.25">
      <c r="B77" s="9"/>
      <c r="C77" s="1"/>
      <c r="D77" s="1"/>
      <c r="E77" s="1"/>
      <c r="F77" s="1"/>
      <c r="G77" s="1"/>
      <c r="H77" s="1"/>
      <c r="I77" s="42"/>
      <c r="J77" s="42"/>
      <c r="K77" s="42"/>
      <c r="L77" s="42"/>
      <c r="M77" s="42"/>
      <c r="N77" s="42"/>
      <c r="O77" s="42"/>
      <c r="P77" s="42"/>
      <c r="Q77" s="41"/>
      <c r="R77" s="41"/>
      <c r="S77" s="41"/>
      <c r="T77" s="41"/>
      <c r="U77" s="41"/>
      <c r="V77" s="41"/>
      <c r="W77" s="41"/>
      <c r="X77" s="41"/>
      <c r="Y77" s="41"/>
      <c r="Z77" s="41"/>
      <c r="AA77" s="41"/>
      <c r="AB77" s="41"/>
      <c r="AC77" s="41"/>
      <c r="AD77" s="41"/>
      <c r="AE77" s="41"/>
      <c r="AF77" s="41"/>
      <c r="AG77" s="41"/>
      <c r="AH77" s="41"/>
    </row>
    <row r="78" spans="2:34" x14ac:dyDescent="0.25">
      <c r="B78" s="9"/>
      <c r="C78" s="1"/>
      <c r="D78" s="1"/>
      <c r="E78" s="1"/>
      <c r="F78" s="1"/>
      <c r="G78" s="1"/>
      <c r="H78" s="1"/>
      <c r="I78" s="42"/>
      <c r="J78" s="42"/>
      <c r="K78" s="42"/>
      <c r="L78" s="42"/>
      <c r="M78" s="42"/>
      <c r="N78" s="42"/>
      <c r="O78" s="42"/>
      <c r="P78" s="42"/>
      <c r="Q78" s="41"/>
      <c r="R78" s="41"/>
      <c r="S78" s="41"/>
      <c r="T78" s="41"/>
      <c r="U78" s="41"/>
      <c r="V78" s="41"/>
      <c r="W78" s="41"/>
      <c r="X78" s="41"/>
      <c r="Y78" s="41"/>
      <c r="Z78" s="41"/>
      <c r="AA78" s="41"/>
      <c r="AB78" s="41"/>
      <c r="AC78" s="41"/>
      <c r="AD78" s="41"/>
      <c r="AE78" s="41"/>
      <c r="AF78" s="41"/>
      <c r="AG78" s="41"/>
      <c r="AH78" s="41"/>
    </row>
    <row r="79" spans="2:34" x14ac:dyDescent="0.25">
      <c r="B79" s="9"/>
      <c r="C79" s="1"/>
      <c r="D79" s="1"/>
      <c r="E79" s="1"/>
      <c r="F79" s="1"/>
      <c r="G79" s="1"/>
      <c r="H79" s="1"/>
      <c r="I79" s="42"/>
      <c r="J79" s="42"/>
      <c r="K79" s="42"/>
      <c r="L79" s="42"/>
      <c r="M79" s="42"/>
      <c r="N79" s="42"/>
      <c r="O79" s="42"/>
      <c r="P79" s="42"/>
      <c r="Q79" s="41"/>
      <c r="R79" s="41"/>
      <c r="S79" s="41"/>
      <c r="T79" s="41"/>
      <c r="U79" s="41"/>
      <c r="V79" s="41"/>
      <c r="W79" s="41"/>
      <c r="X79" s="41"/>
      <c r="Y79" s="41"/>
      <c r="Z79" s="41"/>
      <c r="AA79" s="41"/>
      <c r="AB79" s="41"/>
      <c r="AC79" s="41"/>
      <c r="AD79" s="41"/>
      <c r="AE79" s="41"/>
      <c r="AF79" s="41"/>
      <c r="AG79" s="41"/>
      <c r="AH79" s="41"/>
    </row>
    <row r="80" spans="2:34" x14ac:dyDescent="0.25">
      <c r="B80" s="9"/>
      <c r="C80" s="1"/>
      <c r="D80" s="1"/>
      <c r="E80" s="1"/>
      <c r="F80" s="1"/>
      <c r="G80" s="1"/>
      <c r="H80" s="1"/>
      <c r="I80" s="42"/>
      <c r="J80" s="42"/>
      <c r="K80" s="42"/>
      <c r="L80" s="42"/>
      <c r="M80" s="42"/>
      <c r="N80" s="42"/>
      <c r="O80" s="42"/>
      <c r="P80" s="42"/>
      <c r="Q80" s="41"/>
      <c r="R80" s="41"/>
      <c r="S80" s="41"/>
      <c r="T80" s="41"/>
      <c r="U80" s="41"/>
      <c r="V80" s="41"/>
      <c r="W80" s="41"/>
      <c r="X80" s="41"/>
      <c r="Y80" s="41"/>
      <c r="Z80" s="41"/>
      <c r="AA80" s="41"/>
      <c r="AB80" s="41"/>
      <c r="AC80" s="41"/>
      <c r="AD80" s="41"/>
      <c r="AE80" s="41"/>
      <c r="AF80" s="41"/>
      <c r="AG80" s="41"/>
      <c r="AH80" s="41"/>
    </row>
    <row r="81" spans="2:34" x14ac:dyDescent="0.25">
      <c r="B81" s="9"/>
      <c r="C81" s="1"/>
      <c r="D81" s="1"/>
      <c r="E81" s="1"/>
      <c r="F81" s="1"/>
      <c r="G81" s="1"/>
      <c r="H81" s="1"/>
      <c r="I81" s="42"/>
      <c r="J81" s="42"/>
      <c r="K81" s="42"/>
      <c r="L81" s="42"/>
      <c r="M81" s="42"/>
      <c r="N81" s="42"/>
      <c r="O81" s="42"/>
      <c r="P81" s="42"/>
      <c r="Q81" s="41"/>
      <c r="R81" s="41"/>
      <c r="S81" s="41"/>
      <c r="T81" s="41"/>
      <c r="U81" s="41"/>
      <c r="V81" s="41"/>
      <c r="W81" s="41"/>
      <c r="X81" s="41"/>
      <c r="Y81" s="41"/>
      <c r="Z81" s="41"/>
      <c r="AA81" s="41"/>
      <c r="AB81" s="41"/>
      <c r="AC81" s="41"/>
      <c r="AD81" s="41"/>
      <c r="AE81" s="41"/>
      <c r="AF81" s="41"/>
      <c r="AG81" s="41"/>
      <c r="AH81" s="41"/>
    </row>
    <row r="82" spans="2:34" x14ac:dyDescent="0.25">
      <c r="B82" s="9"/>
      <c r="F82" s="42"/>
      <c r="G82" s="42"/>
      <c r="H82" s="42"/>
      <c r="I82" s="42"/>
      <c r="J82" s="42"/>
      <c r="K82" s="42"/>
      <c r="L82" s="42"/>
      <c r="M82" s="42"/>
      <c r="N82" s="42"/>
      <c r="O82" s="42"/>
      <c r="P82" s="42"/>
      <c r="Q82" s="41"/>
      <c r="R82" s="41"/>
      <c r="S82" s="41"/>
      <c r="T82" s="41"/>
      <c r="U82" s="41"/>
      <c r="V82" s="41"/>
      <c r="W82" s="41"/>
      <c r="X82" s="41"/>
      <c r="Y82" s="41"/>
      <c r="Z82" s="41"/>
      <c r="AA82" s="41"/>
      <c r="AB82" s="41"/>
      <c r="AC82" s="41"/>
      <c r="AD82" s="41"/>
      <c r="AE82" s="41"/>
      <c r="AF82" s="41"/>
      <c r="AG82" s="41"/>
      <c r="AH82" s="41"/>
    </row>
    <row r="83" spans="2:34" x14ac:dyDescent="0.25">
      <c r="B83" s="9"/>
      <c r="F83" s="42"/>
      <c r="G83" s="42"/>
      <c r="H83" s="42"/>
      <c r="I83" s="42"/>
      <c r="J83" s="42"/>
      <c r="K83" s="42"/>
      <c r="L83" s="42"/>
      <c r="M83" s="42"/>
      <c r="N83" s="42"/>
      <c r="O83" s="42"/>
      <c r="P83" s="42"/>
      <c r="Q83" s="41"/>
      <c r="R83" s="41"/>
      <c r="S83" s="41"/>
      <c r="T83" s="41"/>
      <c r="U83" s="41"/>
      <c r="V83" s="41"/>
      <c r="W83" s="41"/>
      <c r="X83" s="41"/>
      <c r="Y83" s="41"/>
      <c r="Z83" s="41"/>
      <c r="AA83" s="41"/>
      <c r="AB83" s="41"/>
      <c r="AC83" s="41"/>
      <c r="AD83" s="41"/>
      <c r="AE83" s="41"/>
      <c r="AF83" s="41"/>
      <c r="AG83" s="41"/>
      <c r="AH83" s="41"/>
    </row>
    <row r="84" spans="2:34" x14ac:dyDescent="0.25">
      <c r="B84" s="9"/>
      <c r="F84" s="42"/>
      <c r="G84" s="42"/>
      <c r="H84" s="42"/>
      <c r="I84" s="42"/>
      <c r="J84" s="42"/>
      <c r="K84" s="42"/>
      <c r="L84" s="42"/>
      <c r="M84" s="42"/>
      <c r="N84" s="42"/>
      <c r="O84" s="42"/>
      <c r="P84" s="42"/>
      <c r="Q84" s="41"/>
      <c r="R84" s="41"/>
      <c r="S84" s="41"/>
      <c r="T84" s="41"/>
      <c r="U84" s="41"/>
      <c r="V84" s="41"/>
      <c r="W84" s="41"/>
      <c r="X84" s="41"/>
      <c r="Y84" s="41"/>
      <c r="Z84" s="41"/>
      <c r="AA84" s="41"/>
      <c r="AB84" s="41"/>
      <c r="AC84" s="41"/>
      <c r="AD84" s="41"/>
      <c r="AE84" s="41"/>
      <c r="AF84" s="41"/>
      <c r="AG84" s="41"/>
      <c r="AH84" s="41"/>
    </row>
    <row r="85" spans="2:34" x14ac:dyDescent="0.25">
      <c r="B85" s="9"/>
      <c r="F85" s="42"/>
      <c r="G85" s="42"/>
      <c r="H85" s="42"/>
      <c r="I85" s="42"/>
      <c r="J85" s="42"/>
      <c r="K85" s="42"/>
      <c r="L85" s="42"/>
      <c r="M85" s="42"/>
      <c r="N85" s="42"/>
      <c r="O85" s="42"/>
      <c r="P85" s="42"/>
      <c r="Q85" s="41"/>
      <c r="R85" s="41"/>
      <c r="S85" s="41"/>
      <c r="T85" s="41"/>
      <c r="U85" s="41"/>
      <c r="V85" s="41"/>
      <c r="W85" s="41"/>
      <c r="X85" s="41"/>
      <c r="Y85" s="41"/>
      <c r="Z85" s="41"/>
      <c r="AA85" s="41"/>
      <c r="AB85" s="41"/>
      <c r="AC85" s="41"/>
      <c r="AD85" s="41"/>
      <c r="AE85" s="41"/>
      <c r="AF85" s="41"/>
      <c r="AG85" s="41"/>
      <c r="AH85" s="41"/>
    </row>
    <row r="86" spans="2:34" x14ac:dyDescent="0.25">
      <c r="B86" s="9"/>
      <c r="F86" s="42"/>
      <c r="G86" s="42"/>
      <c r="H86" s="42"/>
      <c r="I86" s="42"/>
      <c r="J86" s="42"/>
      <c r="K86" s="42"/>
      <c r="L86" s="42"/>
      <c r="M86" s="42"/>
      <c r="N86" s="42"/>
      <c r="O86" s="42"/>
      <c r="P86" s="42"/>
      <c r="Q86" s="41"/>
      <c r="R86" s="41"/>
      <c r="S86" s="41"/>
      <c r="T86" s="41"/>
      <c r="U86" s="41"/>
      <c r="V86" s="41"/>
      <c r="W86" s="41"/>
      <c r="X86" s="41"/>
      <c r="Y86" s="41"/>
      <c r="Z86" s="41"/>
      <c r="AA86" s="41"/>
      <c r="AB86" s="41"/>
      <c r="AC86" s="41"/>
      <c r="AD86" s="41"/>
      <c r="AE86" s="41"/>
      <c r="AF86" s="41"/>
      <c r="AG86" s="41"/>
      <c r="AH86" s="41"/>
    </row>
    <row r="87" spans="2:34" x14ac:dyDescent="0.25">
      <c r="B87" s="9"/>
      <c r="F87" s="42"/>
      <c r="G87" s="42"/>
      <c r="H87" s="42"/>
      <c r="I87" s="42"/>
      <c r="J87" s="42"/>
      <c r="K87" s="42"/>
      <c r="L87" s="42"/>
      <c r="M87" s="42"/>
      <c r="N87" s="42"/>
      <c r="O87" s="42"/>
      <c r="P87" s="42"/>
      <c r="Q87" s="41"/>
      <c r="R87" s="41"/>
      <c r="S87" s="41"/>
      <c r="T87" s="41"/>
      <c r="U87" s="41"/>
      <c r="V87" s="41"/>
      <c r="W87" s="41"/>
      <c r="X87" s="41"/>
      <c r="Y87" s="41"/>
      <c r="Z87" s="41"/>
      <c r="AA87" s="41"/>
      <c r="AB87" s="41"/>
      <c r="AC87" s="41"/>
      <c r="AD87" s="41"/>
      <c r="AE87" s="41"/>
      <c r="AF87" s="41"/>
      <c r="AG87" s="41"/>
      <c r="AH87" s="41"/>
    </row>
    <row r="88" spans="2:34" x14ac:dyDescent="0.25">
      <c r="B88" s="9"/>
      <c r="F88" s="42"/>
      <c r="G88" s="42"/>
      <c r="H88" s="42"/>
      <c r="I88" s="42"/>
      <c r="J88" s="42"/>
      <c r="K88" s="42"/>
      <c r="L88" s="42"/>
      <c r="M88" s="42"/>
      <c r="N88" s="42"/>
      <c r="O88" s="42"/>
      <c r="P88" s="42"/>
      <c r="Q88" s="41"/>
      <c r="R88" s="41"/>
      <c r="S88" s="41"/>
      <c r="T88" s="41"/>
      <c r="U88" s="41"/>
      <c r="V88" s="41"/>
      <c r="W88" s="41"/>
      <c r="X88" s="41"/>
      <c r="Y88" s="41"/>
      <c r="Z88" s="41"/>
      <c r="AA88" s="41"/>
      <c r="AB88" s="41"/>
      <c r="AC88" s="41"/>
      <c r="AD88" s="41"/>
      <c r="AE88" s="41"/>
      <c r="AF88" s="41"/>
      <c r="AG88" s="41"/>
      <c r="AH88" s="41"/>
    </row>
    <row r="89" spans="2:34" x14ac:dyDescent="0.25">
      <c r="B89" s="9"/>
      <c r="F89" s="42"/>
      <c r="G89" s="42"/>
      <c r="H89" s="42"/>
      <c r="I89" s="42"/>
      <c r="J89" s="42"/>
      <c r="K89" s="42"/>
      <c r="L89" s="42"/>
      <c r="M89" s="42"/>
      <c r="N89" s="42"/>
      <c r="O89" s="42"/>
      <c r="P89" s="42"/>
      <c r="Q89" s="41"/>
      <c r="R89" s="41"/>
      <c r="S89" s="41"/>
      <c r="T89" s="41"/>
      <c r="U89" s="41"/>
      <c r="V89" s="41"/>
      <c r="W89" s="41"/>
      <c r="X89" s="41"/>
      <c r="Y89" s="41"/>
      <c r="Z89" s="41"/>
      <c r="AA89" s="41"/>
      <c r="AB89" s="41"/>
      <c r="AC89" s="41"/>
      <c r="AD89" s="41"/>
      <c r="AE89" s="41"/>
      <c r="AF89" s="41"/>
      <c r="AG89" s="41"/>
      <c r="AH89" s="41"/>
    </row>
    <row r="90" spans="2:34" ht="15" customHeight="1" x14ac:dyDescent="0.25">
      <c r="B90" s="9"/>
      <c r="F90" s="41"/>
      <c r="G90" s="41"/>
      <c r="H90" s="41"/>
      <c r="I90" s="41"/>
      <c r="J90" s="42"/>
      <c r="K90" s="42"/>
      <c r="L90" s="41"/>
      <c r="M90" s="41"/>
      <c r="N90" s="42"/>
      <c r="O90" s="41"/>
      <c r="P90" s="41"/>
      <c r="Q90" s="41"/>
      <c r="R90" s="41"/>
      <c r="S90" s="41"/>
      <c r="T90" s="41"/>
      <c r="U90" s="41"/>
      <c r="V90" s="41"/>
      <c r="W90" s="41"/>
      <c r="X90" s="41"/>
      <c r="Y90" s="41"/>
      <c r="Z90" s="41"/>
      <c r="AA90" s="41"/>
      <c r="AB90" s="41"/>
      <c r="AC90" s="41"/>
      <c r="AD90" s="41"/>
      <c r="AE90" s="41"/>
      <c r="AF90" s="41"/>
      <c r="AG90" s="41"/>
      <c r="AH90" s="41"/>
    </row>
    <row r="91" spans="2:34" ht="15" customHeight="1" x14ac:dyDescent="0.25">
      <c r="B91" s="9"/>
      <c r="C91" s="7" t="s">
        <v>1</v>
      </c>
      <c r="D91" s="7" t="s">
        <v>43</v>
      </c>
      <c r="E91" s="8" t="s">
        <v>2</v>
      </c>
      <c r="F91" s="41"/>
      <c r="G91" s="41"/>
      <c r="H91" s="41"/>
      <c r="I91" s="41"/>
      <c r="J91" s="42"/>
      <c r="K91" s="42"/>
      <c r="L91" s="41"/>
      <c r="M91" s="41"/>
      <c r="N91" s="42"/>
      <c r="O91" s="41"/>
      <c r="P91" s="41"/>
      <c r="Q91" s="41"/>
      <c r="R91" s="41"/>
      <c r="S91" s="41"/>
      <c r="T91" s="41"/>
      <c r="U91" s="41"/>
      <c r="V91" s="41"/>
      <c r="W91" s="41"/>
      <c r="X91" s="41"/>
      <c r="Y91" s="41"/>
      <c r="Z91" s="41"/>
      <c r="AA91" s="41"/>
      <c r="AB91" s="41"/>
      <c r="AC91" s="41"/>
      <c r="AD91" s="41"/>
      <c r="AE91" s="41"/>
      <c r="AF91" s="41"/>
      <c r="AG91" s="41"/>
      <c r="AH91" s="41"/>
    </row>
    <row r="92" spans="2:34" ht="15" customHeight="1" x14ac:dyDescent="0.25">
      <c r="B92" s="9"/>
      <c r="C92" s="44" t="s">
        <v>4</v>
      </c>
      <c r="D92" s="44" t="s">
        <v>44</v>
      </c>
      <c r="E92" s="45">
        <v>50</v>
      </c>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row>
    <row r="93" spans="2:34" ht="15" customHeight="1" x14ac:dyDescent="0.25">
      <c r="B93" s="9"/>
      <c r="C93" s="44" t="s">
        <v>6</v>
      </c>
      <c r="D93" s="44" t="s">
        <v>45</v>
      </c>
      <c r="E93" s="45">
        <v>20</v>
      </c>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row>
    <row r="94" spans="2:34" ht="15" customHeight="1" x14ac:dyDescent="0.25">
      <c r="B94" s="9"/>
      <c r="C94" s="44" t="s">
        <v>8</v>
      </c>
      <c r="D94" s="44" t="s">
        <v>46</v>
      </c>
      <c r="E94" s="45">
        <v>60</v>
      </c>
      <c r="H94" s="42"/>
      <c r="I94" s="42"/>
      <c r="J94" s="42"/>
      <c r="K94" s="42"/>
      <c r="L94" s="41"/>
      <c r="M94" s="41"/>
      <c r="N94" s="41"/>
      <c r="O94" s="41"/>
      <c r="P94" s="41"/>
      <c r="Q94" s="41"/>
      <c r="R94" s="41"/>
      <c r="S94" s="41"/>
      <c r="T94" s="41"/>
      <c r="U94" s="41"/>
      <c r="V94" s="41"/>
      <c r="W94" s="41"/>
      <c r="X94" s="41"/>
      <c r="Y94" s="41"/>
      <c r="Z94" s="41"/>
      <c r="AA94" s="41"/>
      <c r="AB94" s="41"/>
      <c r="AC94" s="41"/>
      <c r="AD94" s="41"/>
      <c r="AE94" s="41"/>
      <c r="AF94" s="41"/>
      <c r="AG94" s="41"/>
      <c r="AH94" s="41"/>
    </row>
    <row r="95" spans="2:34" ht="15" customHeight="1" x14ac:dyDescent="0.25">
      <c r="B95" s="9"/>
      <c r="C95" s="44" t="s">
        <v>10</v>
      </c>
      <c r="D95" s="44" t="s">
        <v>47</v>
      </c>
      <c r="E95" s="45">
        <v>40</v>
      </c>
      <c r="H95" s="42"/>
      <c r="I95" s="42"/>
      <c r="J95" s="42"/>
      <c r="K95" s="42"/>
      <c r="L95" s="41"/>
      <c r="M95" s="41"/>
      <c r="N95" s="41"/>
      <c r="O95" s="41"/>
      <c r="P95" s="41"/>
      <c r="Q95" s="41"/>
      <c r="R95" s="41"/>
      <c r="S95" s="41"/>
      <c r="T95" s="41"/>
      <c r="U95" s="41"/>
      <c r="V95" s="41"/>
      <c r="W95" s="41"/>
      <c r="X95" s="41"/>
      <c r="Y95" s="41"/>
      <c r="Z95" s="41"/>
      <c r="AA95" s="41"/>
      <c r="AB95" s="41"/>
      <c r="AC95" s="41"/>
      <c r="AD95" s="41"/>
      <c r="AE95" s="41"/>
      <c r="AF95" s="41"/>
      <c r="AG95" s="41"/>
      <c r="AH95" s="41"/>
    </row>
    <row r="96" spans="2:34" ht="15" customHeight="1" x14ac:dyDescent="0.25">
      <c r="B96" s="9"/>
      <c r="C96" s="44" t="s">
        <v>4</v>
      </c>
      <c r="D96" s="44" t="s">
        <v>48</v>
      </c>
      <c r="E96" s="45">
        <v>50</v>
      </c>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row>
    <row r="97" spans="2:34" x14ac:dyDescent="0.25">
      <c r="B97" s="9"/>
      <c r="C97" s="44" t="s">
        <v>6</v>
      </c>
      <c r="D97" s="44" t="s">
        <v>49</v>
      </c>
      <c r="E97" s="45">
        <v>20</v>
      </c>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row>
    <row r="98" spans="2:34" x14ac:dyDescent="0.25">
      <c r="B98" s="9"/>
      <c r="C98" s="44" t="s">
        <v>8</v>
      </c>
      <c r="D98" s="44" t="s">
        <v>50</v>
      </c>
      <c r="E98" s="45">
        <v>60</v>
      </c>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row>
    <row r="99" spans="2:34" x14ac:dyDescent="0.25">
      <c r="B99" s="9"/>
      <c r="C99" s="44" t="s">
        <v>10</v>
      </c>
      <c r="D99" s="44" t="s">
        <v>51</v>
      </c>
      <c r="E99" s="45">
        <v>40</v>
      </c>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row>
    <row r="100" spans="2:34" x14ac:dyDescent="0.25">
      <c r="B100" s="9"/>
      <c r="C100" s="44" t="s">
        <v>4</v>
      </c>
      <c r="D100" s="44" t="s">
        <v>48</v>
      </c>
      <c r="E100" s="45">
        <v>50</v>
      </c>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row>
    <row r="101" spans="2:34" x14ac:dyDescent="0.25">
      <c r="B101" s="9"/>
      <c r="C101" s="44" t="s">
        <v>6</v>
      </c>
      <c r="D101" s="44" t="s">
        <v>49</v>
      </c>
      <c r="E101" s="45">
        <v>20</v>
      </c>
      <c r="F101" s="41"/>
      <c r="G101" s="41"/>
    </row>
    <row r="102" spans="2:34" ht="15" customHeight="1" x14ac:dyDescent="0.25">
      <c r="B102" s="9"/>
      <c r="C102" s="44" t="s">
        <v>8</v>
      </c>
      <c r="D102" s="44" t="s">
        <v>46</v>
      </c>
      <c r="E102" s="45">
        <v>60</v>
      </c>
      <c r="F102" s="41"/>
      <c r="G102" s="41"/>
    </row>
    <row r="103" spans="2:34" ht="15" customHeight="1" x14ac:dyDescent="0.25">
      <c r="B103" s="9"/>
      <c r="C103" s="44" t="s">
        <v>10</v>
      </c>
      <c r="D103" s="44" t="s">
        <v>51</v>
      </c>
      <c r="E103" s="45">
        <v>40</v>
      </c>
      <c r="F103" s="41"/>
      <c r="G103" s="41"/>
    </row>
    <row r="104" spans="2:34" ht="15" customHeight="1" x14ac:dyDescent="0.25">
      <c r="B104" s="9"/>
      <c r="C104" s="42"/>
      <c r="D104" s="42"/>
      <c r="E104" s="43"/>
    </row>
    <row r="105" spans="2:34" ht="15" customHeight="1" thickBot="1" x14ac:dyDescent="0.3">
      <c r="B105" s="9"/>
      <c r="C105" s="42" t="s">
        <v>1</v>
      </c>
      <c r="D105" s="42" t="s">
        <v>43</v>
      </c>
      <c r="E105" s="25" t="s">
        <v>75</v>
      </c>
    </row>
    <row r="106" spans="2:34" ht="15" customHeight="1" thickTop="1" thickBot="1" x14ac:dyDescent="0.3">
      <c r="B106" s="9"/>
      <c r="C106" s="50" t="s">
        <v>10</v>
      </c>
      <c r="D106" s="50" t="s">
        <v>51</v>
      </c>
      <c r="E106" s="46">
        <f>SUMIFS(E92:E103,C92:C103,C106,D92:D103,D106)</f>
        <v>80</v>
      </c>
    </row>
    <row r="107" spans="2:34" ht="15" customHeight="1" thickTop="1" x14ac:dyDescent="0.25">
      <c r="B107" s="9"/>
      <c r="E107" s="41"/>
    </row>
    <row r="108" spans="2:34" x14ac:dyDescent="0.25">
      <c r="E108" s="41"/>
    </row>
    <row r="109" spans="2:34" x14ac:dyDescent="0.25">
      <c r="E109" s="41"/>
    </row>
    <row r="110" spans="2:34" x14ac:dyDescent="0.25">
      <c r="E110" s="41"/>
    </row>
    <row r="117" spans="3:4" x14ac:dyDescent="0.25">
      <c r="C117" s="7" t="s">
        <v>12</v>
      </c>
      <c r="D117" s="7" t="s">
        <v>2</v>
      </c>
    </row>
    <row r="118" spans="3:4" x14ac:dyDescent="0.25">
      <c r="C118" s="13" t="s">
        <v>13</v>
      </c>
      <c r="D118" s="13">
        <v>50</v>
      </c>
    </row>
    <row r="119" spans="3:4" x14ac:dyDescent="0.25">
      <c r="C119" s="13" t="s">
        <v>14</v>
      </c>
      <c r="D119" s="13">
        <v>100</v>
      </c>
    </row>
    <row r="120" spans="3:4" x14ac:dyDescent="0.25">
      <c r="C120" s="13" t="s">
        <v>15</v>
      </c>
      <c r="D120" s="13">
        <v>40</v>
      </c>
    </row>
    <row r="121" spans="3:4" x14ac:dyDescent="0.25">
      <c r="C121" s="13" t="s">
        <v>16</v>
      </c>
      <c r="D121" s="13">
        <v>50</v>
      </c>
    </row>
    <row r="122" spans="3:4" ht="15.75" thickBot="1" x14ac:dyDescent="0.3">
      <c r="C122" s="13" t="s">
        <v>17</v>
      </c>
      <c r="D122" s="13">
        <v>20</v>
      </c>
    </row>
    <row r="123" spans="3:4" ht="16.5" thickTop="1" thickBot="1" x14ac:dyDescent="0.3">
      <c r="C123" s="55"/>
      <c r="D123" s="56">
        <f>SUMIF(D118:D122,"&gt;=50")</f>
        <v>200</v>
      </c>
    </row>
    <row r="124" spans="3:4" ht="15.75" thickTop="1" x14ac:dyDescent="0.25"/>
  </sheetData>
  <dataValidations disablePrompts="1"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heetViews>
  <sheetFormatPr defaultRowHeight="15" x14ac:dyDescent="0.25"/>
  <cols>
    <col min="1" max="1" width="13" customWidth="1"/>
    <col min="2" max="2" width="82.85546875" customWidth="1"/>
    <col min="3" max="4" width="13.140625" customWidth="1"/>
  </cols>
  <sheetData>
    <row r="1" spans="1:4" ht="60" customHeight="1" x14ac:dyDescent="0.25">
      <c r="A1" s="29" t="s">
        <v>250</v>
      </c>
      <c r="C1" s="76"/>
      <c r="D1" s="89"/>
    </row>
    <row r="2" spans="1:4" x14ac:dyDescent="0.25">
      <c r="A2" s="29" t="s">
        <v>251</v>
      </c>
    </row>
    <row r="3" spans="1:4" ht="15" customHeight="1" x14ac:dyDescent="0.25">
      <c r="A3" s="31" t="s">
        <v>306</v>
      </c>
    </row>
    <row r="4" spans="1:4" ht="15" customHeight="1" x14ac:dyDescent="0.25">
      <c r="A4" s="31" t="s">
        <v>281</v>
      </c>
      <c r="C4" s="39" t="s">
        <v>1</v>
      </c>
      <c r="D4" s="34" t="s">
        <v>2</v>
      </c>
    </row>
    <row r="5" spans="1:4" ht="15" customHeight="1" x14ac:dyDescent="0.25">
      <c r="A5" s="31" t="s">
        <v>292</v>
      </c>
      <c r="C5" s="44" t="s">
        <v>4</v>
      </c>
      <c r="D5" s="45">
        <v>50</v>
      </c>
    </row>
    <row r="6" spans="1:4" x14ac:dyDescent="0.25">
      <c r="A6" s="29" t="s">
        <v>252</v>
      </c>
      <c r="C6" s="44" t="s">
        <v>6</v>
      </c>
      <c r="D6" s="45">
        <v>20</v>
      </c>
    </row>
    <row r="7" spans="1:4" ht="15" customHeight="1" x14ac:dyDescent="0.25">
      <c r="A7" s="31" t="s">
        <v>282</v>
      </c>
      <c r="C7" s="44" t="s">
        <v>8</v>
      </c>
      <c r="D7" s="45">
        <v>60</v>
      </c>
    </row>
    <row r="8" spans="1:4" ht="15" customHeight="1" x14ac:dyDescent="0.25">
      <c r="A8" s="29" t="s">
        <v>139</v>
      </c>
      <c r="C8" s="44" t="s">
        <v>10</v>
      </c>
      <c r="D8" s="45">
        <v>40</v>
      </c>
    </row>
    <row r="9" spans="1:4" ht="15" customHeight="1" thickBot="1" x14ac:dyDescent="0.3">
      <c r="A9" s="29" t="s">
        <v>140</v>
      </c>
      <c r="C9" s="42"/>
      <c r="D9" s="42"/>
    </row>
    <row r="10" spans="1:4" ht="16.5" thickTop="1" thickBot="1" x14ac:dyDescent="0.3">
      <c r="A10" s="29" t="s">
        <v>30</v>
      </c>
      <c r="C10" s="58" t="s">
        <v>4</v>
      </c>
      <c r="D10" s="46">
        <f>VLOOKUP(C10,C5:D8,2,FALSE)</f>
        <v>50</v>
      </c>
    </row>
    <row r="11" spans="1:4" ht="15.75" thickTop="1" x14ac:dyDescent="0.25">
      <c r="A11" s="29" t="s">
        <v>142</v>
      </c>
    </row>
    <row r="12" spans="1:4" x14ac:dyDescent="0.25">
      <c r="A12" s="29" t="s">
        <v>253</v>
      </c>
    </row>
    <row r="13" spans="1:4" x14ac:dyDescent="0.25">
      <c r="A13" s="29" t="s">
        <v>254</v>
      </c>
    </row>
    <row r="14" spans="1:4" x14ac:dyDescent="0.25">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heetViews>
  <sheetFormatPr defaultRowHeight="15" x14ac:dyDescent="0.25"/>
  <cols>
    <col min="1" max="1" width="13" customWidth="1"/>
    <col min="2" max="2" width="82.85546875" customWidth="1"/>
    <col min="3" max="4" width="13.28515625" customWidth="1"/>
  </cols>
  <sheetData>
    <row r="1" spans="1:4" ht="60" customHeight="1" x14ac:dyDescent="0.25">
      <c r="A1" s="29" t="s">
        <v>255</v>
      </c>
      <c r="C1" s="76"/>
      <c r="D1" s="94"/>
    </row>
    <row r="2" spans="1:4" ht="15" customHeight="1" x14ac:dyDescent="0.25">
      <c r="A2" s="29" t="s">
        <v>256</v>
      </c>
      <c r="C2" s="93"/>
      <c r="D2" s="93"/>
    </row>
    <row r="3" spans="1:4" x14ac:dyDescent="0.25">
      <c r="A3" s="29" t="s">
        <v>257</v>
      </c>
      <c r="C3" s="39" t="s">
        <v>1</v>
      </c>
      <c r="D3" s="34" t="s">
        <v>2</v>
      </c>
    </row>
    <row r="4" spans="1:4" x14ac:dyDescent="0.25">
      <c r="A4" s="29" t="s">
        <v>258</v>
      </c>
      <c r="C4" s="112" t="s">
        <v>4</v>
      </c>
      <c r="D4" s="113">
        <v>50</v>
      </c>
    </row>
    <row r="5" spans="1:4" x14ac:dyDescent="0.25">
      <c r="A5" s="29" t="s">
        <v>259</v>
      </c>
      <c r="C5" s="112" t="s">
        <v>6</v>
      </c>
      <c r="D5" s="113">
        <v>20</v>
      </c>
    </row>
    <row r="6" spans="1:4" x14ac:dyDescent="0.25">
      <c r="A6" s="29" t="s">
        <v>260</v>
      </c>
      <c r="C6" s="112" t="s">
        <v>8</v>
      </c>
      <c r="D6" s="113">
        <v>60</v>
      </c>
    </row>
    <row r="7" spans="1:4" ht="15" customHeight="1" x14ac:dyDescent="0.25">
      <c r="A7" s="31" t="s">
        <v>283</v>
      </c>
      <c r="C7" s="112" t="s">
        <v>10</v>
      </c>
      <c r="D7" s="113">
        <v>40</v>
      </c>
    </row>
    <row r="8" spans="1:4" ht="15.75" thickBot="1" x14ac:dyDescent="0.3">
      <c r="A8" s="29" t="s">
        <v>139</v>
      </c>
      <c r="C8" s="42"/>
      <c r="D8" s="42"/>
    </row>
    <row r="9" spans="1:4" ht="16.5" thickTop="1" thickBot="1" x14ac:dyDescent="0.3">
      <c r="A9" s="29" t="s">
        <v>140</v>
      </c>
      <c r="C9" s="92" t="s">
        <v>114</v>
      </c>
      <c r="D9" s="46" t="e">
        <f>VLOOKUP(C9,C3:D7,2,FALSE)</f>
        <v>#N/A</v>
      </c>
    </row>
    <row r="10" spans="1:4" ht="15.75" thickTop="1" x14ac:dyDescent="0.25">
      <c r="A10" s="29" t="s">
        <v>30</v>
      </c>
    </row>
    <row r="11" spans="1:4" x14ac:dyDescent="0.25">
      <c r="A11" s="29" t="s">
        <v>261</v>
      </c>
    </row>
    <row r="12" spans="1:4" x14ac:dyDescent="0.25">
      <c r="A12" s="29" t="s">
        <v>262</v>
      </c>
    </row>
    <row r="13" spans="1:4" x14ac:dyDescent="0.25">
      <c r="A13" s="29" t="s">
        <v>263</v>
      </c>
    </row>
    <row r="14" spans="1:4" x14ac:dyDescent="0.25">
      <c r="A14" s="29" t="s">
        <v>33</v>
      </c>
    </row>
    <row r="30" spans="3:4" x14ac:dyDescent="0.25">
      <c r="C30" s="39" t="s">
        <v>1</v>
      </c>
      <c r="D30" s="34" t="s">
        <v>2</v>
      </c>
    </row>
    <row r="31" spans="3:4" x14ac:dyDescent="0.25">
      <c r="C31" s="112" t="s">
        <v>4</v>
      </c>
      <c r="D31" s="113">
        <v>50</v>
      </c>
    </row>
    <row r="32" spans="3:4" x14ac:dyDescent="0.25">
      <c r="C32" s="112" t="s">
        <v>6</v>
      </c>
      <c r="D32" s="113">
        <v>20</v>
      </c>
    </row>
    <row r="33" spans="3:4" x14ac:dyDescent="0.25">
      <c r="C33" s="112" t="s">
        <v>8</v>
      </c>
      <c r="D33" s="113">
        <v>60</v>
      </c>
    </row>
    <row r="34" spans="3:4" x14ac:dyDescent="0.25">
      <c r="C34" s="112" t="s">
        <v>10</v>
      </c>
      <c r="D34" s="113">
        <v>40</v>
      </c>
    </row>
    <row r="35" spans="3:4" ht="15.75" thickBot="1" x14ac:dyDescent="0.3"/>
    <row r="36" spans="3:4" ht="16.5" thickTop="1" thickBot="1" x14ac:dyDescent="0.3">
      <c r="C36" s="92" t="s">
        <v>64</v>
      </c>
      <c r="D36" s="46" t="e">
        <f ca="1">sume(D31:D34)</f>
        <v>#NAME?</v>
      </c>
    </row>
    <row r="37" spans="3:4" ht="15.75" thickTop="1" x14ac:dyDescent="0.25"/>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45D96907-3760-4A02-914D-DEDD1ED3BC1D}">
  <ds:schemaRefs>
    <ds:schemaRef ds:uri="http://schemas.microsoft.com/sharepoint/v3/contenttype/forms"/>
  </ds:schemaRefs>
</ds:datastoreItem>
</file>

<file path=customXml/itemProps2.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2026-01-17T03:52:36Z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